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Amortization" sheetId="3" state="visible" r:id="rId3"/>
    <sheet name="Appreciation" sheetId="4" state="visible" r:id="rId4"/>
    <sheet name="Rent vs Buy" sheetId="5" state="visible" r:id="rId5"/>
    <sheet name="Affordability" sheetId="6" state="visible" r:id="rId6"/>
    <sheet name="Cash to Close" sheetId="7" state="visible" r:id="rId7"/>
    <sheet name="Buy Today" sheetId="8" state="visible" r:id="rId8"/>
    <sheet name="Tax Benefits" sheetId="9" state="visible" r:id="rId9"/>
    <sheet name="Retirement Tradeoff" sheetId="10" state="visible" r:id="rId10"/>
    <sheet name="ROI Analysis" sheetId="11" state="visible" r:id="rId11"/>
    <sheet name="Refinance" sheetId="12" state="visible" r:id="rId12"/>
    <sheet name="Extra Payment" sheetId="13" state="visible" r:id="rId13"/>
    <sheet name="Scenario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;($#,##0);&quot;-&quot;"/>
    <numFmt numFmtId="165" formatCode="0.00%;(0.00%);&quot;-&quot;"/>
    <numFmt numFmtId="166" formatCode="0.00000%"/>
    <numFmt numFmtId="167" formatCode="&quot;Yes&quot;;;&quot;No&quot;"/>
    <numFmt numFmtId="168" formatCode="0.0000%"/>
    <numFmt numFmtId="169" formatCode="0.0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i val="1"/>
      <color rgb="00404040"/>
      <sz val="11"/>
    </font>
    <font>
      <name val="Arial"/>
      <b val="1"/>
      <color rgb="00000000"/>
      <sz val="13"/>
    </font>
    <font>
      <name val="Arial"/>
      <color rgb="00000000"/>
      <sz val="11"/>
    </font>
    <font>
      <name val="Arial"/>
      <color rgb="000000FF"/>
      <sz val="11"/>
    </font>
    <font>
      <name val="Arial"/>
      <b val="1"/>
      <color rgb="00000000"/>
      <sz val="11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5" fillId="2" borderId="1" applyAlignment="1" pivotButton="0" quotePrefix="0" xfId="0">
      <alignment horizontal="right"/>
    </xf>
    <xf numFmtId="165" fontId="5" fillId="2" borderId="1" applyAlignment="1" pivotButton="0" quotePrefix="0" xfId="0">
      <alignment horizontal="right"/>
    </xf>
    <xf numFmtId="1" fontId="5" fillId="2" borderId="1" applyAlignment="1" pivotButton="0" quotePrefix="0" xfId="0">
      <alignment horizontal="right"/>
    </xf>
    <xf numFmtId="49" fontId="5" fillId="2" borderId="1" applyAlignment="1" pivotButton="0" quotePrefix="0" xfId="0">
      <alignment horizontal="right"/>
    </xf>
    <xf numFmtId="164" fontId="4" fillId="0" borderId="1" pivotButton="0" quotePrefix="0" xfId="0"/>
    <xf numFmtId="166" fontId="4" fillId="0" borderId="1" pivotButton="0" quotePrefix="0" xfId="0"/>
    <xf numFmtId="1" fontId="4" fillId="0" borderId="1" pivotButton="0" quotePrefix="0" xfId="0"/>
    <xf numFmtId="0" fontId="6" fillId="0" borderId="0" pivotButton="0" quotePrefix="0" xfId="0"/>
    <xf numFmtId="164" fontId="6" fillId="3" borderId="1" pivotButton="0" quotePrefix="0" xfId="0"/>
    <xf numFmtId="0" fontId="7" fillId="4" borderId="1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167" fontId="0" fillId="0" borderId="0" applyAlignment="1" pivotButton="0" quotePrefix="0" xfId="0">
      <alignment horizontal="center"/>
    </xf>
    <xf numFmtId="164" fontId="6" fillId="3" borderId="0" pivotButton="0" quotePrefix="0" xfId="0"/>
    <xf numFmtId="0" fontId="0" fillId="5" borderId="0" pivotButton="0" quotePrefix="0" xfId="0"/>
    <xf numFmtId="164" fontId="0" fillId="5" borderId="0" pivotButton="0" quotePrefix="0" xfId="0"/>
    <xf numFmtId="164" fontId="6" fillId="5" borderId="1" pivotButton="0" quotePrefix="0" xfId="0"/>
    <xf numFmtId="0" fontId="4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0" fontId="6" fillId="0" borderId="1" pivotButton="0" quotePrefix="0" xfId="0"/>
    <xf numFmtId="164" fontId="0" fillId="3" borderId="1" pivotButton="0" quotePrefix="0" xfId="0"/>
    <xf numFmtId="165" fontId="4" fillId="0" borderId="1" pivotButton="0" quotePrefix="0" xfId="0"/>
    <xf numFmtId="164" fontId="6" fillId="0" borderId="1" pivotButton="0" quotePrefix="0" xfId="0"/>
    <xf numFmtId="168" fontId="4" fillId="0" borderId="1" pivotButton="0" quotePrefix="0" xfId="0"/>
    <xf numFmtId="0" fontId="6" fillId="3" borderId="1" pivotButton="0" quotePrefix="0" xfId="0"/>
    <xf numFmtId="0" fontId="6" fillId="0" borderId="1" applyAlignment="1" pivotButton="0" quotePrefix="0" xfId="0">
      <alignment horizontal="center"/>
    </xf>
    <xf numFmtId="165" fontId="6" fillId="0" borderId="1" pivotButton="0" quotePrefix="0" xfId="0"/>
    <xf numFmtId="165" fontId="6" fillId="3" borderId="1" pivotButton="0" quotePrefix="0" xfId="0"/>
    <xf numFmtId="0" fontId="6" fillId="3" borderId="0" pivotButton="0" quotePrefix="0" xfId="0"/>
    <xf numFmtId="169" fontId="6" fillId="3" borderId="1" pivotButton="0" quotePrefix="0" xfId="0"/>
    <xf numFmtId="0" fontId="7" fillId="4" borderId="0" pivotButton="0" quotePrefix="0" xfId="0"/>
    <xf numFmtId="164" fontId="4" fillId="0" borderId="0" pivotButton="0" quotePrefix="0" xfId="0"/>
    <xf numFmtId="169" fontId="4" fillId="0" borderId="0" pivotButton="0" quotePrefix="0" xfId="0"/>
    <xf numFmtId="169" fontId="6" fillId="3" borderId="0" pivotButton="0" quotePrefix="0" xfId="0"/>
    <xf numFmtId="164" fontId="5" fillId="2" borderId="1" pivotButton="0" quotePrefix="0" xfId="0"/>
    <xf numFmtId="165" fontId="5" fillId="2" borderId="1" pivotButton="0" quotePrefix="0" xfId="0"/>
    <xf numFmtId="1" fontId="5" fillId="2" borderId="1" pivotButton="0" quotePrefix="0" xfId="0"/>
    <xf numFmtId="0" fontId="4" fillId="3" borderId="0" pivotButton="0" quotePrefix="0" xfId="0"/>
    <xf numFmtId="164" fontId="4" fillId="3" borderId="1" pivotButton="0" quotePrefix="0" xfId="0"/>
    <xf numFmtId="169" fontId="4" fillId="0" borderId="1" pivotButton="0" quotePrefix="0" xfId="0"/>
    <xf numFmtId="0" fontId="4" fillId="5" borderId="0" pivotButton="0" quotePrefix="0" xfId="0"/>
    <xf numFmtId="16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Home Value vs. Loan Balance vs. Net Equity</a:t>
            </a:r>
          </a:p>
        </rich>
      </tx>
    </title>
    <plotArea>
      <lineChart>
        <grouping val="standard"/>
        <ser>
          <idx val="0"/>
          <order val="0"/>
          <tx>
            <strRef>
              <f>'Appreciation'!B4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'Appreciation'!$A$5:$A$34</f>
            </numRef>
          </cat>
          <val>
            <numRef>
              <f>'Appreciation'!$B$5:$B$34</f>
            </numRef>
          </val>
        </ser>
        <ser>
          <idx val="1"/>
          <order val="1"/>
          <tx>
            <strRef>
              <f>'Appreciation'!C4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'Appreciation'!$A$5:$A$34</f>
            </numRef>
          </cat>
          <val>
            <numRef>
              <f>'Appreciation'!$C$5:$C$34</f>
            </numRef>
          </val>
        </ser>
        <ser>
          <idx val="2"/>
          <order val="2"/>
          <tx>
            <strRef>
              <f>'Appreciation'!D4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'Appreciation'!$A$5:$A$34</f>
            </numRef>
          </cat>
          <val>
            <numRef>
              <f>'Appreciation'!$D$5:$D$34</f>
            </numRef>
          </val>
        </ser>
        <ser>
          <idx val="3"/>
          <order val="3"/>
          <tx>
            <strRef>
              <f>'Appreciation'!E4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'Appreciation'!$A$5:$A$34</f>
            </numRef>
          </cat>
          <val>
            <numRef>
              <f>'Appreciation'!$E$5:$E$34</f>
            </numRef>
          </val>
        </ser>
        <ser>
          <idx val="4"/>
          <order val="4"/>
          <tx>
            <strRef>
              <f>'Appreciation'!F4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'Appreciation'!$A$5:$A$34</f>
            </numRef>
          </cat>
          <val>
            <numRef>
              <f>'Appreciation'!$F$5:$F$34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Rent vs. Buy — Net Wealth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'Rent vs Buy'!G4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'Rent vs Buy'!$A$5:$A$34</f>
            </numRef>
          </cat>
          <val>
            <numRef>
              <f>'Rent vs Buy'!$G$5:$G$34</f>
            </numRef>
          </val>
        </ser>
        <ser>
          <idx val="1"/>
          <order val="1"/>
          <tx>
            <strRef>
              <f>'Rent vs Buy'!H4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'Rent vs Buy'!$A$5:$A$34</f>
            </numRef>
          </cat>
          <val>
            <numRef>
              <f>'Rent vs Buy'!$H$5:$H$34</f>
            </numRef>
          </val>
        </ser>
        <ser>
          <idx val="2"/>
          <order val="2"/>
          <tx>
            <strRef>
              <f>'Rent vs Buy'!I4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'Rent vs Buy'!$A$5:$A$34</f>
            </numRef>
          </cat>
          <val>
            <numRef>
              <f>'Rent vs Buy'!$I$5:$I$34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Home Mortgage Calculator</t>
        </is>
      </c>
    </row>
    <row r="2">
      <c r="A2" t="inlineStr"/>
    </row>
    <row r="3">
      <c r="A3" s="2" t="inlineStr">
        <is>
          <t>How to use:</t>
        </is>
      </c>
    </row>
    <row r="4">
      <c r="A4" t="inlineStr">
        <is>
          <t xml:space="preserve">  1. Open the Inputs sheet and edit the YELLOW cells (blue text).</t>
        </is>
      </c>
    </row>
    <row r="5">
      <c r="A5" t="inlineStr">
        <is>
          <t xml:space="preserve">  2. All other sheets update automatically.</t>
        </is>
      </c>
    </row>
    <row r="6">
      <c r="A6" t="inlineStr"/>
    </row>
    <row r="7">
      <c r="A7" s="2" t="inlineStr">
        <is>
          <t>Sheets:</t>
        </is>
      </c>
    </row>
    <row r="8">
      <c r="A8" t="inlineStr">
        <is>
          <t xml:space="preserve">  • Inputs           — All editable assumptions. Includes monthly payment summary.</t>
        </is>
      </c>
    </row>
    <row r="9">
      <c r="A9" t="inlineStr">
        <is>
          <t xml:space="preserve">  • Amortization     — Full 360-month schedule. PMI auto-deactivates at 20% LTV.</t>
        </is>
      </c>
    </row>
    <row r="10">
      <c r="A10" t="inlineStr">
        <is>
          <t xml:space="preserve">  • Appreciation     — Year-by-year asset value, equity, and cumulative interest. Includes chart.</t>
        </is>
      </c>
    </row>
    <row r="11">
      <c r="A11" t="inlineStr">
        <is>
          <t xml:space="preserve">  • Rent vs Buy      — Net wealth path (with escalating tax + insurance). Includes chart.</t>
        </is>
      </c>
    </row>
    <row r="12">
      <c r="A12" t="inlineStr">
        <is>
          <t xml:space="preserve">  • Affordability    — Minimum household income required at conventional DTI standards.</t>
        </is>
      </c>
    </row>
    <row r="13">
      <c r="A13" t="inlineStr">
        <is>
          <t xml:space="preserve">  • Cash to Close    — Cash needed at closing and recommended liquid retention.</t>
        </is>
      </c>
    </row>
    <row r="14">
      <c r="A14" t="inlineStr">
        <is>
          <t xml:space="preserve">  • Buy Today        — Liquidity check and concentration cap analysis.</t>
        </is>
      </c>
    </row>
    <row r="15">
      <c r="A15" t="inlineStr">
        <is>
          <t xml:space="preserve">  • Tax Benefits     — Mortgage interest + SALT deductions, cap gains exclusion at sale.</t>
        </is>
      </c>
    </row>
    <row r="16">
      <c r="A16" t="inlineStr">
        <is>
          <t xml:space="preserve">  • Retirement Tradeoff — How housing costs affect retirement savings capacity.</t>
        </is>
      </c>
    </row>
    <row r="17">
      <c r="A17" t="inlineStr">
        <is>
          <t xml:space="preserve">  • ROI Analysis     — Return on investment (Simple ROI, CAGR, IRR) at years 5/10/15/20/30.</t>
        </is>
      </c>
    </row>
    <row r="18">
      <c r="A18" t="inlineStr">
        <is>
          <t xml:space="preserve">  • Refinance        — Compare refinancing at year N vs. keeping current loan.</t>
        </is>
      </c>
    </row>
    <row r="19">
      <c r="A19" t="inlineStr">
        <is>
          <t xml:space="preserve">  • Extra Payment    — How much interest you save by paying extra each month.</t>
        </is>
      </c>
    </row>
    <row r="20">
      <c r="A20" t="inlineStr">
        <is>
          <t xml:space="preserve">  • Scenarios        — Three editable side-by-side scenarios for what-if analysis.</t>
        </is>
      </c>
    </row>
    <row r="21">
      <c r="A21" t="inlineStr"/>
    </row>
    <row r="22">
      <c r="A22" s="2" t="inlineStr">
        <is>
          <t>Color conventions:</t>
        </is>
      </c>
    </row>
    <row r="23">
      <c r="A23" t="inlineStr">
        <is>
          <t xml:space="preserve">  • Blue text on yellow = editable input</t>
        </is>
      </c>
    </row>
    <row r="24">
      <c r="A24" t="inlineStr">
        <is>
          <t xml:space="preserve">  • Black text         = formula</t>
        </is>
      </c>
    </row>
    <row r="25">
      <c r="A25" t="inlineStr">
        <is>
          <t xml:space="preserve">  • Green text         = cross-sheet reference</t>
        </is>
      </c>
    </row>
    <row r="26">
      <c r="A26" t="inlineStr"/>
    </row>
    <row r="27">
      <c r="A27" s="2" t="inlineStr">
        <is>
          <t>Assumptions baked into the model:</t>
        </is>
      </c>
    </row>
    <row r="28">
      <c r="A28" t="inlineStr">
        <is>
          <t xml:space="preserve">  • Fixed-rate mortgage (single rate for whole term)</t>
        </is>
      </c>
    </row>
    <row r="29">
      <c r="A29" t="inlineStr">
        <is>
          <t xml:space="preserve">  • PMI applied while equity &lt; 20% of original purchase price (uses standard cutoff)</t>
        </is>
      </c>
    </row>
    <row r="30">
      <c r="A30" t="inlineStr">
        <is>
          <t xml:space="preserve">  • Property tax % is applied to original home price (constant). For tax-on-current-value, edit Inputs!B17.</t>
        </is>
      </c>
    </row>
    <row r="31">
      <c r="A31" t="inlineStr">
        <is>
          <t xml:space="preserve">  • Selling costs (6% default) deducted only when computing net equity at exit.</t>
        </is>
      </c>
    </row>
    <row r="32">
      <c r="A32" t="inlineStr">
        <is>
          <t xml:space="preserve">  • Rent vs. buy: renter invests the down payment + closing costs upfront at the investment return rate. Differential method NOT used — a stricter model would also invest the difference between rent and total monthly carrying cost.</t>
        </is>
      </c>
    </row>
    <row r="33">
      <c r="A33" t="inlineStr"/>
    </row>
    <row r="34">
      <c r="A34" s="2" t="inlineStr">
        <is>
          <t>Caveats and ideas for v2:</t>
        </is>
      </c>
    </row>
    <row r="35">
      <c r="A35" t="inlineStr">
        <is>
          <t xml:space="preserve">  • Tax deductibility of mortgage interest (post-TCJA SALT cap)</t>
        </is>
      </c>
    </row>
    <row r="36">
      <c r="A36" t="inlineStr">
        <is>
          <t xml:space="preserve">  • ARM / rate change after fixed period</t>
        </is>
      </c>
    </row>
    <row r="37">
      <c r="A37" t="inlineStr">
        <is>
          <t xml:space="preserve">  • Refi scenarios</t>
        </is>
      </c>
    </row>
    <row r="38">
      <c r="A38" t="inlineStr">
        <is>
          <t xml:space="preserve">  • Capital gains exclusion at sale ($250k / $500k)</t>
        </is>
      </c>
    </row>
    <row r="39">
      <c r="A39" t="inlineStr">
        <is>
          <t xml:space="preserve">  • Cost basis adjustments for capital improvements</t>
        </is>
      </c>
    </row>
    <row r="40">
      <c r="A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30" customWidth="1" min="3" max="3"/>
  </cols>
  <sheetData>
    <row r="1">
      <c r="A1" s="1" t="inlineStr">
        <is>
          <t>Home Mortgage Calculator — Inputs</t>
        </is>
      </c>
    </row>
    <row r="2">
      <c r="A2" s="3" t="inlineStr">
        <is>
          <t>Blue cells = editable assumptions. All other sheets pull from this one.</t>
        </is>
      </c>
    </row>
    <row r="4">
      <c r="A4" s="2" t="inlineStr">
        <is>
          <t>LOAN</t>
        </is>
      </c>
    </row>
    <row r="5">
      <c r="A5" s="4" t="inlineStr">
        <is>
          <t>Home price ($)</t>
        </is>
      </c>
      <c r="B5" s="5" t="n">
        <v>500000</v>
      </c>
      <c r="C5" s="3" t="inlineStr">
        <is>
          <t>Purchase price of the home</t>
        </is>
      </c>
    </row>
    <row r="6">
      <c r="A6" s="4" t="inlineStr">
        <is>
          <t>Down payment (%)</t>
        </is>
      </c>
      <c r="B6" s="6" t="n">
        <v>0.2</v>
      </c>
      <c r="C6" s="3" t="inlineStr">
        <is>
          <t>% of price paid up-front</t>
        </is>
      </c>
    </row>
    <row r="7">
      <c r="A7" s="4" t="inlineStr">
        <is>
          <t>Interest rate (annual %)</t>
        </is>
      </c>
      <c r="B7" s="6" t="n">
        <v>0.065</v>
      </c>
      <c r="C7" s="3" t="inlineStr">
        <is>
          <t>APR — fixed-rate mortgage</t>
        </is>
      </c>
    </row>
    <row r="8">
      <c r="A8" s="4" t="inlineStr">
        <is>
          <t>Loan term (years)</t>
        </is>
      </c>
      <c r="B8" s="7" t="n">
        <v>30</v>
      </c>
      <c r="C8" s="3" t="inlineStr">
        <is>
          <t>Common: 15, 20, 30</t>
        </is>
      </c>
    </row>
    <row r="9">
      <c r="A9" s="2" t="inlineStr">
        <is>
          <t>RECURRING COSTS</t>
        </is>
      </c>
    </row>
    <row r="10">
      <c r="A10" s="4" t="inlineStr">
        <is>
          <t>Property tax (annual %)</t>
        </is>
      </c>
      <c r="B10" s="6" t="n">
        <v>0.012</v>
      </c>
      <c r="C10" s="3" t="inlineStr">
        <is>
          <t>Typical: 0.5–2.0% of home value</t>
        </is>
      </c>
    </row>
    <row r="11">
      <c r="A11" s="4" t="inlineStr">
        <is>
          <t>Home insurance ($/year)</t>
        </is>
      </c>
      <c r="B11" s="5" t="n">
        <v>1800</v>
      </c>
      <c r="C11" s="3" t="inlineStr">
        <is>
          <t>Annual premium</t>
        </is>
      </c>
    </row>
    <row r="12">
      <c r="A12" s="4" t="inlineStr">
        <is>
          <t>HOA ($/month)</t>
        </is>
      </c>
      <c r="B12" s="5" t="n">
        <v>0</v>
      </c>
      <c r="C12" s="3" t="inlineStr">
        <is>
          <t>$0 if no HOA</t>
        </is>
      </c>
    </row>
    <row r="13">
      <c r="A13" s="4" t="inlineStr">
        <is>
          <t>PMI rate (annual %)</t>
        </is>
      </c>
      <c r="B13" s="6" t="n">
        <v>0.006</v>
      </c>
      <c r="C13" s="3" t="inlineStr">
        <is>
          <t>Usually 0.3–1.5%; only applies if down &lt; 20%</t>
        </is>
      </c>
    </row>
    <row r="14">
      <c r="A14" s="2" t="inlineStr">
        <is>
          <t>APPRECIATION &amp; COSTS</t>
        </is>
      </c>
    </row>
    <row r="15">
      <c r="A15" s="4" t="inlineStr">
        <is>
          <t>Home appreciation (annual %)</t>
        </is>
      </c>
      <c r="B15" s="6" t="n">
        <v>0.035</v>
      </c>
      <c r="C15" s="3" t="inlineStr">
        <is>
          <t>Long-run US avg ~3–4%</t>
        </is>
      </c>
    </row>
    <row r="16">
      <c r="A16" s="4" t="inlineStr">
        <is>
          <t>Maintenance (% of home value/yr)</t>
        </is>
      </c>
      <c r="B16" s="6" t="n">
        <v>0.01</v>
      </c>
      <c r="C16" s="3" t="inlineStr">
        <is>
          <t>Rule of thumb: 1%/yr</t>
        </is>
      </c>
    </row>
    <row r="17">
      <c r="A17" s="4" t="inlineStr">
        <is>
          <t>Closing costs (% of price)</t>
        </is>
      </c>
      <c r="B17" s="6" t="n">
        <v>0.03</v>
      </c>
      <c r="C17" s="3" t="inlineStr">
        <is>
          <t>Typical: 2–5%</t>
        </is>
      </c>
    </row>
    <row r="18">
      <c r="A18" s="4" t="inlineStr">
        <is>
          <t>Selling costs (% of sale)</t>
        </is>
      </c>
      <c r="B18" s="6" t="n">
        <v>0.06</v>
      </c>
      <c r="C18" s="3" t="inlineStr">
        <is>
          <t>Typical: 6% (agent fees etc)</t>
        </is>
      </c>
    </row>
    <row r="19">
      <c r="A19" s="2" t="inlineStr">
        <is>
          <t>EXTRA PAYMENTS</t>
        </is>
      </c>
    </row>
    <row r="20">
      <c r="A20" s="4" t="inlineStr">
        <is>
          <t>Extra monthly principal ($)</t>
        </is>
      </c>
      <c r="B20" s="5" t="n">
        <v>0</v>
      </c>
      <c r="C20" s="3" t="inlineStr">
        <is>
          <t>Additional principal each month</t>
        </is>
      </c>
    </row>
    <row r="21">
      <c r="A21" s="2" t="inlineStr">
        <is>
          <t>RENT VS. BUY</t>
        </is>
      </c>
    </row>
    <row r="22">
      <c r="A22" s="4" t="inlineStr">
        <is>
          <t>Current rent ($/month)</t>
        </is>
      </c>
      <c r="B22" s="5" t="n">
        <v>2500</v>
      </c>
      <c r="C22" s="3" t="inlineStr">
        <is>
          <t>What you'd pay if renting</t>
        </is>
      </c>
    </row>
    <row r="23">
      <c r="A23" s="4" t="inlineStr">
        <is>
          <t>Annual rent increase (%)</t>
        </is>
      </c>
      <c r="B23" s="6" t="n">
        <v>0.03</v>
      </c>
      <c r="C23" s="3" t="inlineStr">
        <is>
          <t>Typical: 2–4%</t>
        </is>
      </c>
    </row>
    <row r="24">
      <c r="A24" s="4" t="inlineStr">
        <is>
          <t>Investment return (%)</t>
        </is>
      </c>
      <c r="B24" s="6" t="n">
        <v>0.07000000000000001</v>
      </c>
      <c r="C24" s="3" t="inlineStr">
        <is>
          <t>Opportunity cost of down payment</t>
        </is>
      </c>
    </row>
    <row r="25">
      <c r="A25" s="2" t="inlineStr">
        <is>
          <t>AFFORDABILITY</t>
        </is>
      </c>
    </row>
    <row r="26">
      <c r="A26" s="4" t="inlineStr">
        <is>
          <t>Other monthly debts ($)</t>
        </is>
      </c>
      <c r="B26" s="5" t="n">
        <v>0</v>
      </c>
      <c r="C26" s="3" t="inlineStr">
        <is>
          <t>Car, student loans, credit card min etc.</t>
        </is>
      </c>
    </row>
    <row r="27">
      <c r="A27" s="4" t="inlineStr">
        <is>
          <t>Custom front-end DTI (%)</t>
        </is>
      </c>
      <c r="B27" s="6" t="n">
        <v>0.28</v>
      </c>
      <c r="C27" s="3" t="inlineStr">
        <is>
          <t>Your housing-to-income ceiling</t>
        </is>
      </c>
    </row>
    <row r="28">
      <c r="A28" s="2" t="inlineStr">
        <is>
          <t>ESCALATION</t>
        </is>
      </c>
    </row>
    <row r="29">
      <c r="A29" s="4" t="inlineStr">
        <is>
          <t>Property tax growth (annual %)</t>
        </is>
      </c>
      <c r="B29" s="6" t="n">
        <v>0.02</v>
      </c>
      <c r="C29" s="3" t="inlineStr">
        <is>
          <t>How fast tax grows; CA Prop 13 caps at 2%</t>
        </is>
      </c>
    </row>
    <row r="30">
      <c r="A30" s="4" t="inlineStr">
        <is>
          <t>Insurance growth (annual %)</t>
        </is>
      </c>
      <c r="B30" s="6" t="n">
        <v>0.05</v>
      </c>
      <c r="C30" s="3" t="inlineStr">
        <is>
          <t>Often 4-7%; higher in climate-affected areas</t>
        </is>
      </c>
    </row>
    <row r="31">
      <c r="A31" s="2" t="inlineStr">
        <is>
          <t>CASH TO CLOSE</t>
        </is>
      </c>
    </row>
    <row r="32">
      <c r="A32" s="4" t="inlineStr">
        <is>
          <t>Initial repairs / move-in ($)</t>
        </is>
      </c>
      <c r="B32" s="5" t="n">
        <v>5000</v>
      </c>
      <c r="C32" s="3" t="inlineStr">
        <is>
          <t>Lump-sum at move-in: furniture, repairs etc.</t>
        </is>
      </c>
    </row>
    <row r="33">
      <c r="A33" s="4" t="inlineStr">
        <is>
          <t>Required reserves (months PITI)</t>
        </is>
      </c>
      <c r="B33" s="7" t="n">
        <v>2</v>
      </c>
      <c r="C33" s="3" t="inlineStr">
        <is>
          <t>Lenders want 2-6 months of PITI in reserves</t>
        </is>
      </c>
    </row>
    <row r="34">
      <c r="A34" s="2" t="inlineStr">
        <is>
          <t>SAVINGS &amp; ASSETS</t>
        </is>
      </c>
    </row>
    <row r="35">
      <c r="A35" s="4" t="inlineStr">
        <is>
          <t>Current liquid assets ($)</t>
        </is>
      </c>
      <c r="B35" s="5" t="n">
        <v>150000</v>
      </c>
      <c r="C35" s="3" t="inlineStr">
        <is>
          <t>Cash + brokerage + savings (excl. retirement)</t>
        </is>
      </c>
    </row>
    <row r="36">
      <c r="A36" s="4" t="inlineStr">
        <is>
          <t>Monthly savings ($/mo)</t>
        </is>
      </c>
      <c r="B36" s="5" t="n">
        <v>2000</v>
      </c>
      <c r="C36" s="3" t="inlineStr">
        <is>
          <t>What you can save toward the down payment</t>
        </is>
      </c>
    </row>
    <row r="37">
      <c r="A37" s="4" t="inlineStr">
        <is>
          <t>Monthly household expenses ($)</t>
        </is>
      </c>
      <c r="B37" s="5" t="n">
        <v>6000</v>
      </c>
      <c r="C37" s="3" t="inlineStr">
        <is>
          <t>Food, utilities, transport — excl. mortgage</t>
        </is>
      </c>
    </row>
    <row r="38">
      <c r="A38" s="4" t="inlineStr">
        <is>
          <t>Emergency fund target (months)</t>
        </is>
      </c>
      <c r="B38" s="7" t="n">
        <v>6</v>
      </c>
      <c r="C38" s="3" t="inlineStr">
        <is>
          <t>Recommended: 6 months of expenses</t>
        </is>
      </c>
    </row>
    <row r="39">
      <c r="A39" s="4" t="inlineStr">
        <is>
          <t>Max % of liquid for down payment</t>
        </is>
      </c>
      <c r="B39" s="6" t="n">
        <v>0.5</v>
      </c>
      <c r="C39" s="3" t="inlineStr">
        <is>
          <t>Concentration cap — don't lock more than this share into one asset</t>
        </is>
      </c>
    </row>
    <row r="40">
      <c r="A40" s="2" t="inlineStr">
        <is>
          <t>TAXES</t>
        </is>
      </c>
    </row>
    <row r="41">
      <c r="A41" s="4" t="inlineStr">
        <is>
          <t>Filing status (M=married, S=single)</t>
        </is>
      </c>
      <c r="B41" s="8" t="inlineStr">
        <is>
          <t>M</t>
        </is>
      </c>
      <c r="C41" s="3" t="inlineStr">
        <is>
          <t>M = MFJ ($500K cap gains excl.); S = Single ($250K)</t>
        </is>
      </c>
    </row>
    <row r="42">
      <c r="A42" s="4" t="inlineStr">
        <is>
          <t>Marginal federal tax rate (%)</t>
        </is>
      </c>
      <c r="B42" s="6" t="n">
        <v>0.24</v>
      </c>
      <c r="C42" s="3" t="inlineStr">
        <is>
          <t>Your top federal bracket</t>
        </is>
      </c>
    </row>
    <row r="43">
      <c r="A43" s="4" t="inlineStr">
        <is>
          <t>Other SALT taxes paid ($/yr)</t>
        </is>
      </c>
      <c r="B43" s="5" t="n">
        <v>8000</v>
      </c>
      <c r="C43" s="3" t="inlineStr">
        <is>
          <t>Income + other state/local (excl. property tax)</t>
        </is>
      </c>
    </row>
    <row r="44">
      <c r="A44" s="4" t="inlineStr">
        <is>
          <t>LTCG rate at sale (%)</t>
        </is>
      </c>
      <c r="B44" s="6" t="n">
        <v>0.15</v>
      </c>
      <c r="C44" s="3" t="inlineStr">
        <is>
          <t>Long-term cap gains rate: 0/15/20% federal</t>
        </is>
      </c>
    </row>
    <row r="45">
      <c r="A45" s="2" t="inlineStr">
        <is>
          <t>RETIREMENT</t>
        </is>
      </c>
    </row>
    <row r="46">
      <c r="A46" s="4" t="inlineStr">
        <is>
          <t>Gross annual income ($)</t>
        </is>
      </c>
      <c r="B46" s="5" t="n">
        <v>150000</v>
      </c>
      <c r="C46" s="3" t="inlineStr">
        <is>
          <t>Household gross income</t>
        </is>
      </c>
    </row>
    <row r="47">
      <c r="A47" s="4" t="inlineStr">
        <is>
          <t>Current 401k contribution (%)</t>
        </is>
      </c>
      <c r="B47" s="6" t="n">
        <v>0.1</v>
      </c>
      <c r="C47" s="3" t="inlineStr">
        <is>
          <t>Your pre-tax 401k contribution</t>
        </is>
      </c>
    </row>
    <row r="48">
      <c r="A48" s="4" t="inlineStr">
        <is>
          <t>Employer match (%)</t>
        </is>
      </c>
      <c r="B48" s="6" t="n">
        <v>0.5</v>
      </c>
      <c r="C48" s="3" t="inlineStr">
        <is>
          <t>Employer matches this % of your contribution</t>
        </is>
      </c>
    </row>
    <row r="49">
      <c r="A49" s="4" t="inlineStr">
        <is>
          <t>Match cap (% of salary)</t>
        </is>
      </c>
      <c r="B49" s="6" t="n">
        <v>0.06</v>
      </c>
      <c r="C49" s="3" t="inlineStr">
        <is>
          <t>Employer only matches up to this % of salary</t>
        </is>
      </c>
    </row>
    <row r="50">
      <c r="A50" s="4" t="inlineStr">
        <is>
          <t>Expected investment return (%)</t>
        </is>
      </c>
      <c r="B50" s="6" t="n">
        <v>0.07000000000000001</v>
      </c>
      <c r="C50" s="3" t="inlineStr">
        <is>
          <t>Long-term expected return</t>
        </is>
      </c>
    </row>
    <row r="51">
      <c r="A51" s="4" t="inlineStr">
        <is>
          <t>Years to retirement</t>
        </is>
      </c>
      <c r="B51" s="7" t="n">
        <v>25</v>
      </c>
      <c r="C51" s="3" t="inlineStr">
        <is>
          <t>Years until retirement</t>
        </is>
      </c>
    </row>
    <row r="52">
      <c r="A52" s="2" t="inlineStr">
        <is>
          <t>REFINANCE</t>
        </is>
      </c>
    </row>
    <row r="53">
      <c r="A53" s="4" t="inlineStr">
        <is>
          <t>Include refi? (1=yes, 0=no)</t>
        </is>
      </c>
      <c r="B53" s="7" t="n">
        <v>0</v>
      </c>
      <c r="C53" s="3" t="inlineStr">
        <is>
          <t>Toggle refi simulation on/off</t>
        </is>
      </c>
    </row>
    <row r="54">
      <c r="A54" s="4" t="inlineStr">
        <is>
          <t>Refinance at year</t>
        </is>
      </c>
      <c r="B54" s="7" t="n">
        <v>5</v>
      </c>
      <c r="C54" s="3" t="inlineStr">
        <is>
          <t>When you'd refi (1-30)</t>
        </is>
      </c>
    </row>
    <row r="55">
      <c r="A55" s="4" t="inlineStr">
        <is>
          <t>New interest rate (%)</t>
        </is>
      </c>
      <c r="B55" s="6" t="n">
        <v>0.055</v>
      </c>
      <c r="C55" s="3" t="inlineStr">
        <is>
          <t>Rate on new loan</t>
        </is>
      </c>
    </row>
    <row r="56">
      <c r="A56" s="4" t="inlineStr">
        <is>
          <t>New term (years)</t>
        </is>
      </c>
      <c r="B56" s="7" t="n">
        <v>30</v>
      </c>
      <c r="C56" s="3" t="inlineStr">
        <is>
          <t>30 resets clock; 15/20 keeps shorter trajectory</t>
        </is>
      </c>
    </row>
    <row r="57">
      <c r="A57" s="4" t="inlineStr">
        <is>
          <t>Refi closing costs (% of new loan)</t>
        </is>
      </c>
      <c r="B57" s="6" t="n">
        <v>0.02</v>
      </c>
      <c r="C57" s="3" t="inlineStr">
        <is>
          <t>Typical 2-5%</t>
        </is>
      </c>
    </row>
    <row r="58">
      <c r="A58" s="4" t="inlineStr">
        <is>
          <t>Cash-out amount ($)</t>
        </is>
      </c>
      <c r="B58" s="5" t="n">
        <v>0</v>
      </c>
      <c r="C58" s="3" t="inlineStr">
        <is>
          <t>Equity converted to cash</t>
        </is>
      </c>
    </row>
    <row r="59">
      <c r="A59" s="4" t="inlineStr">
        <is>
          <t>Roll closing into loan (1=yes,0=no)</t>
        </is>
      </c>
      <c r="B59" s="7" t="n">
        <v>0</v>
      </c>
      <c r="C59" s="3" t="inlineStr">
        <is>
          <t>If 1, closing added to loan balance</t>
        </is>
      </c>
    </row>
    <row r="61">
      <c r="A61" s="2" t="inlineStr">
        <is>
          <t>DERIVED</t>
        </is>
      </c>
    </row>
    <row r="62">
      <c r="A62" s="4" t="inlineStr">
        <is>
          <t>Down payment ($)</t>
        </is>
      </c>
      <c r="B62" s="9">
        <f>Inputs!$B$5*Inputs!$B$6</f>
        <v/>
      </c>
    </row>
    <row r="63">
      <c r="A63" s="4" t="inlineStr">
        <is>
          <t>Loan amount ($)</t>
        </is>
      </c>
      <c r="B63" s="9">
        <f>Inputs!$B$5-Inputs!$B$62</f>
        <v/>
      </c>
    </row>
    <row r="64">
      <c r="A64" s="4" t="inlineStr">
        <is>
          <t>Monthly rate</t>
        </is>
      </c>
      <c r="B64" s="10">
        <f>Inputs!$B$7/12</f>
        <v/>
      </c>
    </row>
    <row r="65">
      <c r="A65" s="4" t="inlineStr">
        <is>
          <t>Number of payments</t>
        </is>
      </c>
      <c r="B65" s="11">
        <f>Inputs!$B$8*12</f>
        <v/>
      </c>
    </row>
    <row r="66">
      <c r="A66" s="12" t="inlineStr">
        <is>
          <t>Monthly P&amp;I</t>
        </is>
      </c>
      <c r="B66" s="13">
        <f>-PMT(Inputs!$B$64,Inputs!$B$65,Inputs!$B$63)</f>
        <v/>
      </c>
    </row>
    <row r="67">
      <c r="A67" s="4" t="inlineStr">
        <is>
          <t>Monthly property tax</t>
        </is>
      </c>
      <c r="B67" s="9">
        <f>Inputs!$B$10*Inputs!$B$5/12</f>
        <v/>
      </c>
    </row>
    <row r="68">
      <c r="A68" s="4" t="inlineStr">
        <is>
          <t>Monthly insurance</t>
        </is>
      </c>
      <c r="B68" s="9">
        <f>Inputs!$B$11/12</f>
        <v/>
      </c>
    </row>
    <row r="69">
      <c r="A69" s="4" t="inlineStr">
        <is>
          <t>Monthly PMI (initial)</t>
        </is>
      </c>
      <c r="B69" s="9">
        <f>Inputs!$B$13*Inputs!$B$63/12</f>
        <v/>
      </c>
    </row>
    <row r="70">
      <c r="A70" s="4" t="inlineStr">
        <is>
          <t>Monthly HOA</t>
        </is>
      </c>
      <c r="B70" s="9">
        <f>Inputs!$B$12</f>
        <v/>
      </c>
    </row>
    <row r="71">
      <c r="A71" s="4" t="inlineStr">
        <is>
          <t>Closing costs ($)</t>
        </is>
      </c>
      <c r="B71" s="9">
        <f>Inputs!$B$5*Inputs!$B$17</f>
        <v/>
      </c>
    </row>
    <row r="72">
      <c r="A72" s="4" t="inlineStr">
        <is>
          <t>PMI cutoff (80% LTV equity)</t>
        </is>
      </c>
      <c r="B72" s="9">
        <f>Inputs!$B$5*0.20</f>
        <v/>
      </c>
    </row>
    <row r="75">
      <c r="A75" s="2" t="inlineStr">
        <is>
          <t>MONTHLY PAYMENT SUMMARY (Year 1)</t>
        </is>
      </c>
    </row>
    <row r="76">
      <c r="A76" s="4" t="inlineStr">
        <is>
          <t>Principal &amp; Interest</t>
        </is>
      </c>
      <c r="B76" s="9">
        <f>Inputs!$B$66</f>
        <v/>
      </c>
    </row>
    <row r="77">
      <c r="A77" s="4" t="inlineStr">
        <is>
          <t>Property tax</t>
        </is>
      </c>
      <c r="B77" s="9">
        <f>Inputs!$B$67</f>
        <v/>
      </c>
    </row>
    <row r="78">
      <c r="A78" s="4" t="inlineStr">
        <is>
          <t>Insurance</t>
        </is>
      </c>
      <c r="B78" s="9">
        <f>Inputs!$B$68</f>
        <v/>
      </c>
    </row>
    <row r="79">
      <c r="A79" s="4" t="inlineStr">
        <is>
          <t>PMI (if down &lt; 20%)</t>
        </is>
      </c>
      <c r="B79" s="9">
        <f>IF(Inputs!$B$6&lt;0.2,Inputs!$B$69,0)</f>
        <v/>
      </c>
    </row>
    <row r="80">
      <c r="A80" s="4" t="inlineStr">
        <is>
          <t>HOA</t>
        </is>
      </c>
      <c r="B80" s="9">
        <f>Inputs!$B$70</f>
        <v/>
      </c>
    </row>
    <row r="81">
      <c r="A81" s="12" t="inlineStr">
        <is>
          <t>Total monthly</t>
        </is>
      </c>
      <c r="B81" s="13">
        <f>SUM(B76:B80)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Amortization Schedule</t>
        </is>
      </c>
    </row>
    <row r="2">
      <c r="A2" s="3" t="inlineStr">
        <is>
          <t>Formulas reference the Inputs sheet. Edit assumptions there to update everything.</t>
        </is>
      </c>
    </row>
    <row r="4">
      <c r="A4" s="14" t="inlineStr">
        <is>
          <t>Month</t>
        </is>
      </c>
      <c r="B4" s="14" t="inlineStr">
        <is>
          <t>Year</t>
        </is>
      </c>
      <c r="C4" s="14" t="inlineStr">
        <is>
          <t>Beginning Balance</t>
        </is>
      </c>
      <c r="D4" s="14" t="inlineStr">
        <is>
          <t>Payment</t>
        </is>
      </c>
      <c r="E4" s="14" t="inlineStr">
        <is>
          <t>Principal</t>
        </is>
      </c>
      <c r="F4" s="14" t="inlineStr">
        <is>
          <t>Interest</t>
        </is>
      </c>
      <c r="G4" s="14" t="inlineStr">
        <is>
          <t>Extra Principal</t>
        </is>
      </c>
      <c r="H4" s="14" t="inlineStr">
        <is>
          <t>PMI Active?</t>
        </is>
      </c>
      <c r="I4" s="14" t="inlineStr">
        <is>
          <t>Ending Balance</t>
        </is>
      </c>
    </row>
    <row r="5">
      <c r="A5" t="n">
        <v>1</v>
      </c>
      <c r="B5" s="15">
        <f>CEILING(A5/12,1)</f>
        <v/>
      </c>
      <c r="C5" s="16">
        <f>Inputs!$B$63</f>
        <v/>
      </c>
      <c r="D5" s="16">
        <f>IF(AND(C5&gt;0.01,A5&lt;=Inputs!$B$65),Inputs!$B$66,0)</f>
        <v/>
      </c>
      <c r="E5" s="16">
        <f>IF(D5=0,0,MIN(D5-F5,C5))</f>
        <v/>
      </c>
      <c r="F5" s="16">
        <f>IF(C5&gt;0.01,C5*Inputs!$B$64,0)</f>
        <v/>
      </c>
      <c r="G5" s="16">
        <f>IF(C5-E5&gt;0,MIN(Inputs!$B$20,C5-E5),0)</f>
        <v/>
      </c>
      <c r="H5" s="17">
        <f>IF(Inputs!$B$62+SUM(E$5:E5)+SUM(G$5:G5)&lt;Inputs!$B$72,1,0)</f>
        <v/>
      </c>
      <c r="I5" s="16">
        <f>MAX(0,C5-E5-G5)</f>
        <v/>
      </c>
    </row>
    <row r="6">
      <c r="A6" t="n">
        <v>2</v>
      </c>
      <c r="B6" s="15">
        <f>CEILING(A6/12,1)</f>
        <v/>
      </c>
      <c r="C6" s="16">
        <f>I5</f>
        <v/>
      </c>
      <c r="D6" s="16">
        <f>IF(AND(C6&gt;0.01,A6&lt;=Inputs!$B$65),Inputs!$B$66,0)</f>
        <v/>
      </c>
      <c r="E6" s="16">
        <f>IF(D6=0,0,MIN(D6-F6,C6))</f>
        <v/>
      </c>
      <c r="F6" s="16">
        <f>IF(C6&gt;0.01,C6*Inputs!$B$64,0)</f>
        <v/>
      </c>
      <c r="G6" s="16">
        <f>IF(C6-E6&gt;0,MIN(Inputs!$B$20,C6-E6),0)</f>
        <v/>
      </c>
      <c r="H6" s="17">
        <f>IF(Inputs!$B$62+SUM(E$5:E6)+SUM(G$5:G5)&lt;Inputs!$B$72,1,0)</f>
        <v/>
      </c>
      <c r="I6" s="16">
        <f>MAX(0,C6-E6-G6)</f>
        <v/>
      </c>
    </row>
    <row r="7">
      <c r="A7" t="n">
        <v>3</v>
      </c>
      <c r="B7" s="15">
        <f>CEILING(A7/12,1)</f>
        <v/>
      </c>
      <c r="C7" s="16">
        <f>I6</f>
        <v/>
      </c>
      <c r="D7" s="16">
        <f>IF(AND(C7&gt;0.01,A7&lt;=Inputs!$B$65),Inputs!$B$66,0)</f>
        <v/>
      </c>
      <c r="E7" s="16">
        <f>IF(D7=0,0,MIN(D7-F7,C7))</f>
        <v/>
      </c>
      <c r="F7" s="16">
        <f>IF(C7&gt;0.01,C7*Inputs!$B$64,0)</f>
        <v/>
      </c>
      <c r="G7" s="16">
        <f>IF(C7-E7&gt;0,MIN(Inputs!$B$20,C7-E7),0)</f>
        <v/>
      </c>
      <c r="H7" s="17">
        <f>IF(Inputs!$B$62+SUM(E$5:E7)+SUM(G$5:G6)&lt;Inputs!$B$72,1,0)</f>
        <v/>
      </c>
      <c r="I7" s="16">
        <f>MAX(0,C7-E7-G7)</f>
        <v/>
      </c>
    </row>
    <row r="8">
      <c r="A8" t="n">
        <v>4</v>
      </c>
      <c r="B8" s="15">
        <f>CEILING(A8/12,1)</f>
        <v/>
      </c>
      <c r="C8" s="16">
        <f>I7</f>
        <v/>
      </c>
      <c r="D8" s="16">
        <f>IF(AND(C8&gt;0.01,A8&lt;=Inputs!$B$65),Inputs!$B$66,0)</f>
        <v/>
      </c>
      <c r="E8" s="16">
        <f>IF(D8=0,0,MIN(D8-F8,C8))</f>
        <v/>
      </c>
      <c r="F8" s="16">
        <f>IF(C8&gt;0.01,C8*Inputs!$B$64,0)</f>
        <v/>
      </c>
      <c r="G8" s="16">
        <f>IF(C8-E8&gt;0,MIN(Inputs!$B$20,C8-E8),0)</f>
        <v/>
      </c>
      <c r="H8" s="17">
        <f>IF(Inputs!$B$62+SUM(E$5:E8)+SUM(G$5:G7)&lt;Inputs!$B$72,1,0)</f>
        <v/>
      </c>
      <c r="I8" s="16">
        <f>MAX(0,C8-E8-G8)</f>
        <v/>
      </c>
    </row>
    <row r="9">
      <c r="A9" t="n">
        <v>5</v>
      </c>
      <c r="B9" s="15">
        <f>CEILING(A9/12,1)</f>
        <v/>
      </c>
      <c r="C9" s="16">
        <f>I8</f>
        <v/>
      </c>
      <c r="D9" s="16">
        <f>IF(AND(C9&gt;0.01,A9&lt;=Inputs!$B$65),Inputs!$B$66,0)</f>
        <v/>
      </c>
      <c r="E9" s="16">
        <f>IF(D9=0,0,MIN(D9-F9,C9))</f>
        <v/>
      </c>
      <c r="F9" s="16">
        <f>IF(C9&gt;0.01,C9*Inputs!$B$64,0)</f>
        <v/>
      </c>
      <c r="G9" s="16">
        <f>IF(C9-E9&gt;0,MIN(Inputs!$B$20,C9-E9),0)</f>
        <v/>
      </c>
      <c r="H9" s="17">
        <f>IF(Inputs!$B$62+SUM(E$5:E9)+SUM(G$5:G8)&lt;Inputs!$B$72,1,0)</f>
        <v/>
      </c>
      <c r="I9" s="16">
        <f>MAX(0,C9-E9-G9)</f>
        <v/>
      </c>
    </row>
    <row r="10">
      <c r="A10" t="n">
        <v>6</v>
      </c>
      <c r="B10" s="15">
        <f>CEILING(A10/12,1)</f>
        <v/>
      </c>
      <c r="C10" s="16">
        <f>I9</f>
        <v/>
      </c>
      <c r="D10" s="16">
        <f>IF(AND(C10&gt;0.01,A10&lt;=Inputs!$B$65),Inputs!$B$66,0)</f>
        <v/>
      </c>
      <c r="E10" s="16">
        <f>IF(D10=0,0,MIN(D10-F10,C10))</f>
        <v/>
      </c>
      <c r="F10" s="16">
        <f>IF(C10&gt;0.01,C10*Inputs!$B$64,0)</f>
        <v/>
      </c>
      <c r="G10" s="16">
        <f>IF(C10-E10&gt;0,MIN(Inputs!$B$20,C10-E10),0)</f>
        <v/>
      </c>
      <c r="H10" s="17">
        <f>IF(Inputs!$B$62+SUM(E$5:E10)+SUM(G$5:G9)&lt;Inputs!$B$72,1,0)</f>
        <v/>
      </c>
      <c r="I10" s="16">
        <f>MAX(0,C10-E10-G10)</f>
        <v/>
      </c>
    </row>
    <row r="11">
      <c r="A11" t="n">
        <v>7</v>
      </c>
      <c r="B11" s="15">
        <f>CEILING(A11/12,1)</f>
        <v/>
      </c>
      <c r="C11" s="16">
        <f>I10</f>
        <v/>
      </c>
      <c r="D11" s="16">
        <f>IF(AND(C11&gt;0.01,A11&lt;=Inputs!$B$65),Inputs!$B$66,0)</f>
        <v/>
      </c>
      <c r="E11" s="16">
        <f>IF(D11=0,0,MIN(D11-F11,C11))</f>
        <v/>
      </c>
      <c r="F11" s="16">
        <f>IF(C11&gt;0.01,C11*Inputs!$B$64,0)</f>
        <v/>
      </c>
      <c r="G11" s="16">
        <f>IF(C11-E11&gt;0,MIN(Inputs!$B$20,C11-E11),0)</f>
        <v/>
      </c>
      <c r="H11" s="17">
        <f>IF(Inputs!$B$62+SUM(E$5:E11)+SUM(G$5:G10)&lt;Inputs!$B$72,1,0)</f>
        <v/>
      </c>
      <c r="I11" s="16">
        <f>MAX(0,C11-E11-G11)</f>
        <v/>
      </c>
    </row>
    <row r="12">
      <c r="A12" t="n">
        <v>8</v>
      </c>
      <c r="B12" s="15">
        <f>CEILING(A12/12,1)</f>
        <v/>
      </c>
      <c r="C12" s="16">
        <f>I11</f>
        <v/>
      </c>
      <c r="D12" s="16">
        <f>IF(AND(C12&gt;0.01,A12&lt;=Inputs!$B$65),Inputs!$B$66,0)</f>
        <v/>
      </c>
      <c r="E12" s="16">
        <f>IF(D12=0,0,MIN(D12-F12,C12))</f>
        <v/>
      </c>
      <c r="F12" s="16">
        <f>IF(C12&gt;0.01,C12*Inputs!$B$64,0)</f>
        <v/>
      </c>
      <c r="G12" s="16">
        <f>IF(C12-E12&gt;0,MIN(Inputs!$B$20,C12-E12),0)</f>
        <v/>
      </c>
      <c r="H12" s="17">
        <f>IF(Inputs!$B$62+SUM(E$5:E12)+SUM(G$5:G11)&lt;Inputs!$B$72,1,0)</f>
        <v/>
      </c>
      <c r="I12" s="16">
        <f>MAX(0,C12-E12-G12)</f>
        <v/>
      </c>
    </row>
    <row r="13">
      <c r="A13" t="n">
        <v>9</v>
      </c>
      <c r="B13" s="15">
        <f>CEILING(A13/12,1)</f>
        <v/>
      </c>
      <c r="C13" s="16">
        <f>I12</f>
        <v/>
      </c>
      <c r="D13" s="16">
        <f>IF(AND(C13&gt;0.01,A13&lt;=Inputs!$B$65),Inputs!$B$66,0)</f>
        <v/>
      </c>
      <c r="E13" s="16">
        <f>IF(D13=0,0,MIN(D13-F13,C13))</f>
        <v/>
      </c>
      <c r="F13" s="16">
        <f>IF(C13&gt;0.01,C13*Inputs!$B$64,0)</f>
        <v/>
      </c>
      <c r="G13" s="16">
        <f>IF(C13-E13&gt;0,MIN(Inputs!$B$20,C13-E13),0)</f>
        <v/>
      </c>
      <c r="H13" s="17">
        <f>IF(Inputs!$B$62+SUM(E$5:E13)+SUM(G$5:G12)&lt;Inputs!$B$72,1,0)</f>
        <v/>
      </c>
      <c r="I13" s="16">
        <f>MAX(0,C13-E13-G13)</f>
        <v/>
      </c>
    </row>
    <row r="14">
      <c r="A14" t="n">
        <v>10</v>
      </c>
      <c r="B14" s="15">
        <f>CEILING(A14/12,1)</f>
        <v/>
      </c>
      <c r="C14" s="16">
        <f>I13</f>
        <v/>
      </c>
      <c r="D14" s="16">
        <f>IF(AND(C14&gt;0.01,A14&lt;=Inputs!$B$65),Inputs!$B$66,0)</f>
        <v/>
      </c>
      <c r="E14" s="16">
        <f>IF(D14=0,0,MIN(D14-F14,C14))</f>
        <v/>
      </c>
      <c r="F14" s="16">
        <f>IF(C14&gt;0.01,C14*Inputs!$B$64,0)</f>
        <v/>
      </c>
      <c r="G14" s="16">
        <f>IF(C14-E14&gt;0,MIN(Inputs!$B$20,C14-E14),0)</f>
        <v/>
      </c>
      <c r="H14" s="17">
        <f>IF(Inputs!$B$62+SUM(E$5:E14)+SUM(G$5:G13)&lt;Inputs!$B$72,1,0)</f>
        <v/>
      </c>
      <c r="I14" s="16">
        <f>MAX(0,C14-E14-G14)</f>
        <v/>
      </c>
    </row>
    <row r="15">
      <c r="A15" t="n">
        <v>11</v>
      </c>
      <c r="B15" s="15">
        <f>CEILING(A15/12,1)</f>
        <v/>
      </c>
      <c r="C15" s="16">
        <f>I14</f>
        <v/>
      </c>
      <c r="D15" s="16">
        <f>IF(AND(C15&gt;0.01,A15&lt;=Inputs!$B$65),Inputs!$B$66,0)</f>
        <v/>
      </c>
      <c r="E15" s="16">
        <f>IF(D15=0,0,MIN(D15-F15,C15))</f>
        <v/>
      </c>
      <c r="F15" s="16">
        <f>IF(C15&gt;0.01,C15*Inputs!$B$64,0)</f>
        <v/>
      </c>
      <c r="G15" s="16">
        <f>IF(C15-E15&gt;0,MIN(Inputs!$B$20,C15-E15),0)</f>
        <v/>
      </c>
      <c r="H15" s="17">
        <f>IF(Inputs!$B$62+SUM(E$5:E15)+SUM(G$5:G14)&lt;Inputs!$B$72,1,0)</f>
        <v/>
      </c>
      <c r="I15" s="16">
        <f>MAX(0,C15-E15-G15)</f>
        <v/>
      </c>
    </row>
    <row r="16">
      <c r="A16" t="n">
        <v>12</v>
      </c>
      <c r="B16" s="15">
        <f>CEILING(A16/12,1)</f>
        <v/>
      </c>
      <c r="C16" s="16">
        <f>I15</f>
        <v/>
      </c>
      <c r="D16" s="16">
        <f>IF(AND(C16&gt;0.01,A16&lt;=Inputs!$B$65),Inputs!$B$66,0)</f>
        <v/>
      </c>
      <c r="E16" s="16">
        <f>IF(D16=0,0,MIN(D16-F16,C16))</f>
        <v/>
      </c>
      <c r="F16" s="16">
        <f>IF(C16&gt;0.01,C16*Inputs!$B$64,0)</f>
        <v/>
      </c>
      <c r="G16" s="16">
        <f>IF(C16-E16&gt;0,MIN(Inputs!$B$20,C16-E16),0)</f>
        <v/>
      </c>
      <c r="H16" s="17">
        <f>IF(Inputs!$B$62+SUM(E$5:E16)+SUM(G$5:G15)&lt;Inputs!$B$72,1,0)</f>
        <v/>
      </c>
      <c r="I16" s="16">
        <f>MAX(0,C16-E16-G16)</f>
        <v/>
      </c>
    </row>
    <row r="17">
      <c r="A17" t="n">
        <v>13</v>
      </c>
      <c r="B17" s="15">
        <f>CEILING(A17/12,1)</f>
        <v/>
      </c>
      <c r="C17" s="16">
        <f>I16</f>
        <v/>
      </c>
      <c r="D17" s="16">
        <f>IF(AND(C17&gt;0.01,A17&lt;=Inputs!$B$65),Inputs!$B$66,0)</f>
        <v/>
      </c>
      <c r="E17" s="16">
        <f>IF(D17=0,0,MIN(D17-F17,C17))</f>
        <v/>
      </c>
      <c r="F17" s="16">
        <f>IF(C17&gt;0.01,C17*Inputs!$B$64,0)</f>
        <v/>
      </c>
      <c r="G17" s="16">
        <f>IF(C17-E17&gt;0,MIN(Inputs!$B$20,C17-E17),0)</f>
        <v/>
      </c>
      <c r="H17" s="17">
        <f>IF(Inputs!$B$62+SUM(E$5:E17)+SUM(G$5:G16)&lt;Inputs!$B$72,1,0)</f>
        <v/>
      </c>
      <c r="I17" s="16">
        <f>MAX(0,C17-E17-G17)</f>
        <v/>
      </c>
    </row>
    <row r="18">
      <c r="A18" t="n">
        <v>14</v>
      </c>
      <c r="B18" s="15">
        <f>CEILING(A18/12,1)</f>
        <v/>
      </c>
      <c r="C18" s="16">
        <f>I17</f>
        <v/>
      </c>
      <c r="D18" s="16">
        <f>IF(AND(C18&gt;0.01,A18&lt;=Inputs!$B$65),Inputs!$B$66,0)</f>
        <v/>
      </c>
      <c r="E18" s="16">
        <f>IF(D18=0,0,MIN(D18-F18,C18))</f>
        <v/>
      </c>
      <c r="F18" s="16">
        <f>IF(C18&gt;0.01,C18*Inputs!$B$64,0)</f>
        <v/>
      </c>
      <c r="G18" s="16">
        <f>IF(C18-E18&gt;0,MIN(Inputs!$B$20,C18-E18),0)</f>
        <v/>
      </c>
      <c r="H18" s="17">
        <f>IF(Inputs!$B$62+SUM(E$5:E18)+SUM(G$5:G17)&lt;Inputs!$B$72,1,0)</f>
        <v/>
      </c>
      <c r="I18" s="16">
        <f>MAX(0,C18-E18-G18)</f>
        <v/>
      </c>
    </row>
    <row r="19">
      <c r="A19" t="n">
        <v>15</v>
      </c>
      <c r="B19" s="15">
        <f>CEILING(A19/12,1)</f>
        <v/>
      </c>
      <c r="C19" s="16">
        <f>I18</f>
        <v/>
      </c>
      <c r="D19" s="16">
        <f>IF(AND(C19&gt;0.01,A19&lt;=Inputs!$B$65),Inputs!$B$66,0)</f>
        <v/>
      </c>
      <c r="E19" s="16">
        <f>IF(D19=0,0,MIN(D19-F19,C19))</f>
        <v/>
      </c>
      <c r="F19" s="16">
        <f>IF(C19&gt;0.01,C19*Inputs!$B$64,0)</f>
        <v/>
      </c>
      <c r="G19" s="16">
        <f>IF(C19-E19&gt;0,MIN(Inputs!$B$20,C19-E19),0)</f>
        <v/>
      </c>
      <c r="H19" s="17">
        <f>IF(Inputs!$B$62+SUM(E$5:E19)+SUM(G$5:G18)&lt;Inputs!$B$72,1,0)</f>
        <v/>
      </c>
      <c r="I19" s="16">
        <f>MAX(0,C19-E19-G19)</f>
        <v/>
      </c>
    </row>
    <row r="20">
      <c r="A20" t="n">
        <v>16</v>
      </c>
      <c r="B20" s="15">
        <f>CEILING(A20/12,1)</f>
        <v/>
      </c>
      <c r="C20" s="16">
        <f>I19</f>
        <v/>
      </c>
      <c r="D20" s="16">
        <f>IF(AND(C20&gt;0.01,A20&lt;=Inputs!$B$65),Inputs!$B$66,0)</f>
        <v/>
      </c>
      <c r="E20" s="16">
        <f>IF(D20=0,0,MIN(D20-F20,C20))</f>
        <v/>
      </c>
      <c r="F20" s="16">
        <f>IF(C20&gt;0.01,C20*Inputs!$B$64,0)</f>
        <v/>
      </c>
      <c r="G20" s="16">
        <f>IF(C20-E20&gt;0,MIN(Inputs!$B$20,C20-E20),0)</f>
        <v/>
      </c>
      <c r="H20" s="17">
        <f>IF(Inputs!$B$62+SUM(E$5:E20)+SUM(G$5:G19)&lt;Inputs!$B$72,1,0)</f>
        <v/>
      </c>
      <c r="I20" s="16">
        <f>MAX(0,C20-E20-G20)</f>
        <v/>
      </c>
    </row>
    <row r="21">
      <c r="A21" t="n">
        <v>17</v>
      </c>
      <c r="B21" s="15">
        <f>CEILING(A21/12,1)</f>
        <v/>
      </c>
      <c r="C21" s="16">
        <f>I20</f>
        <v/>
      </c>
      <c r="D21" s="16">
        <f>IF(AND(C21&gt;0.01,A21&lt;=Inputs!$B$65),Inputs!$B$66,0)</f>
        <v/>
      </c>
      <c r="E21" s="16">
        <f>IF(D21=0,0,MIN(D21-F21,C21))</f>
        <v/>
      </c>
      <c r="F21" s="16">
        <f>IF(C21&gt;0.01,C21*Inputs!$B$64,0)</f>
        <v/>
      </c>
      <c r="G21" s="16">
        <f>IF(C21-E21&gt;0,MIN(Inputs!$B$20,C21-E21),0)</f>
        <v/>
      </c>
      <c r="H21" s="17">
        <f>IF(Inputs!$B$62+SUM(E$5:E21)+SUM(G$5:G20)&lt;Inputs!$B$72,1,0)</f>
        <v/>
      </c>
      <c r="I21" s="16">
        <f>MAX(0,C21-E21-G21)</f>
        <v/>
      </c>
    </row>
    <row r="22">
      <c r="A22" t="n">
        <v>18</v>
      </c>
      <c r="B22" s="15">
        <f>CEILING(A22/12,1)</f>
        <v/>
      </c>
      <c r="C22" s="16">
        <f>I21</f>
        <v/>
      </c>
      <c r="D22" s="16">
        <f>IF(AND(C22&gt;0.01,A22&lt;=Inputs!$B$65),Inputs!$B$66,0)</f>
        <v/>
      </c>
      <c r="E22" s="16">
        <f>IF(D22=0,0,MIN(D22-F22,C22))</f>
        <v/>
      </c>
      <c r="F22" s="16">
        <f>IF(C22&gt;0.01,C22*Inputs!$B$64,0)</f>
        <v/>
      </c>
      <c r="G22" s="16">
        <f>IF(C22-E22&gt;0,MIN(Inputs!$B$20,C22-E22),0)</f>
        <v/>
      </c>
      <c r="H22" s="17">
        <f>IF(Inputs!$B$62+SUM(E$5:E22)+SUM(G$5:G21)&lt;Inputs!$B$72,1,0)</f>
        <v/>
      </c>
      <c r="I22" s="16">
        <f>MAX(0,C22-E22-G22)</f>
        <v/>
      </c>
    </row>
    <row r="23">
      <c r="A23" t="n">
        <v>19</v>
      </c>
      <c r="B23" s="15">
        <f>CEILING(A23/12,1)</f>
        <v/>
      </c>
      <c r="C23" s="16">
        <f>I22</f>
        <v/>
      </c>
      <c r="D23" s="16">
        <f>IF(AND(C23&gt;0.01,A23&lt;=Inputs!$B$65),Inputs!$B$66,0)</f>
        <v/>
      </c>
      <c r="E23" s="16">
        <f>IF(D23=0,0,MIN(D23-F23,C23))</f>
        <v/>
      </c>
      <c r="F23" s="16">
        <f>IF(C23&gt;0.01,C23*Inputs!$B$64,0)</f>
        <v/>
      </c>
      <c r="G23" s="16">
        <f>IF(C23-E23&gt;0,MIN(Inputs!$B$20,C23-E23),0)</f>
        <v/>
      </c>
      <c r="H23" s="17">
        <f>IF(Inputs!$B$62+SUM(E$5:E23)+SUM(G$5:G22)&lt;Inputs!$B$72,1,0)</f>
        <v/>
      </c>
      <c r="I23" s="16">
        <f>MAX(0,C23-E23-G23)</f>
        <v/>
      </c>
    </row>
    <row r="24">
      <c r="A24" t="n">
        <v>20</v>
      </c>
      <c r="B24" s="15">
        <f>CEILING(A24/12,1)</f>
        <v/>
      </c>
      <c r="C24" s="16">
        <f>I23</f>
        <v/>
      </c>
      <c r="D24" s="16">
        <f>IF(AND(C24&gt;0.01,A24&lt;=Inputs!$B$65),Inputs!$B$66,0)</f>
        <v/>
      </c>
      <c r="E24" s="16">
        <f>IF(D24=0,0,MIN(D24-F24,C24))</f>
        <v/>
      </c>
      <c r="F24" s="16">
        <f>IF(C24&gt;0.01,C24*Inputs!$B$64,0)</f>
        <v/>
      </c>
      <c r="G24" s="16">
        <f>IF(C24-E24&gt;0,MIN(Inputs!$B$20,C24-E24),0)</f>
        <v/>
      </c>
      <c r="H24" s="17">
        <f>IF(Inputs!$B$62+SUM(E$5:E24)+SUM(G$5:G23)&lt;Inputs!$B$72,1,0)</f>
        <v/>
      </c>
      <c r="I24" s="16">
        <f>MAX(0,C24-E24-G24)</f>
        <v/>
      </c>
    </row>
    <row r="25">
      <c r="A25" t="n">
        <v>21</v>
      </c>
      <c r="B25" s="15">
        <f>CEILING(A25/12,1)</f>
        <v/>
      </c>
      <c r="C25" s="16">
        <f>I24</f>
        <v/>
      </c>
      <c r="D25" s="16">
        <f>IF(AND(C25&gt;0.01,A25&lt;=Inputs!$B$65),Inputs!$B$66,0)</f>
        <v/>
      </c>
      <c r="E25" s="16">
        <f>IF(D25=0,0,MIN(D25-F25,C25))</f>
        <v/>
      </c>
      <c r="F25" s="16">
        <f>IF(C25&gt;0.01,C25*Inputs!$B$64,0)</f>
        <v/>
      </c>
      <c r="G25" s="16">
        <f>IF(C25-E25&gt;0,MIN(Inputs!$B$20,C25-E25),0)</f>
        <v/>
      </c>
      <c r="H25" s="17">
        <f>IF(Inputs!$B$62+SUM(E$5:E25)+SUM(G$5:G24)&lt;Inputs!$B$72,1,0)</f>
        <v/>
      </c>
      <c r="I25" s="16">
        <f>MAX(0,C25-E25-G25)</f>
        <v/>
      </c>
    </row>
    <row r="26">
      <c r="A26" t="n">
        <v>22</v>
      </c>
      <c r="B26" s="15">
        <f>CEILING(A26/12,1)</f>
        <v/>
      </c>
      <c r="C26" s="16">
        <f>I25</f>
        <v/>
      </c>
      <c r="D26" s="16">
        <f>IF(AND(C26&gt;0.01,A26&lt;=Inputs!$B$65),Inputs!$B$66,0)</f>
        <v/>
      </c>
      <c r="E26" s="16">
        <f>IF(D26=0,0,MIN(D26-F26,C26))</f>
        <v/>
      </c>
      <c r="F26" s="16">
        <f>IF(C26&gt;0.01,C26*Inputs!$B$64,0)</f>
        <v/>
      </c>
      <c r="G26" s="16">
        <f>IF(C26-E26&gt;0,MIN(Inputs!$B$20,C26-E26),0)</f>
        <v/>
      </c>
      <c r="H26" s="17">
        <f>IF(Inputs!$B$62+SUM(E$5:E26)+SUM(G$5:G25)&lt;Inputs!$B$72,1,0)</f>
        <v/>
      </c>
      <c r="I26" s="16">
        <f>MAX(0,C26-E26-G26)</f>
        <v/>
      </c>
    </row>
    <row r="27">
      <c r="A27" t="n">
        <v>23</v>
      </c>
      <c r="B27" s="15">
        <f>CEILING(A27/12,1)</f>
        <v/>
      </c>
      <c r="C27" s="16">
        <f>I26</f>
        <v/>
      </c>
      <c r="D27" s="16">
        <f>IF(AND(C27&gt;0.01,A27&lt;=Inputs!$B$65),Inputs!$B$66,0)</f>
        <v/>
      </c>
      <c r="E27" s="16">
        <f>IF(D27=0,0,MIN(D27-F27,C27))</f>
        <v/>
      </c>
      <c r="F27" s="16">
        <f>IF(C27&gt;0.01,C27*Inputs!$B$64,0)</f>
        <v/>
      </c>
      <c r="G27" s="16">
        <f>IF(C27-E27&gt;0,MIN(Inputs!$B$20,C27-E27),0)</f>
        <v/>
      </c>
      <c r="H27" s="17">
        <f>IF(Inputs!$B$62+SUM(E$5:E27)+SUM(G$5:G26)&lt;Inputs!$B$72,1,0)</f>
        <v/>
      </c>
      <c r="I27" s="16">
        <f>MAX(0,C27-E27-G27)</f>
        <v/>
      </c>
    </row>
    <row r="28">
      <c r="A28" t="n">
        <v>24</v>
      </c>
      <c r="B28" s="15">
        <f>CEILING(A28/12,1)</f>
        <v/>
      </c>
      <c r="C28" s="16">
        <f>I27</f>
        <v/>
      </c>
      <c r="D28" s="16">
        <f>IF(AND(C28&gt;0.01,A28&lt;=Inputs!$B$65),Inputs!$B$66,0)</f>
        <v/>
      </c>
      <c r="E28" s="16">
        <f>IF(D28=0,0,MIN(D28-F28,C28))</f>
        <v/>
      </c>
      <c r="F28" s="16">
        <f>IF(C28&gt;0.01,C28*Inputs!$B$64,0)</f>
        <v/>
      </c>
      <c r="G28" s="16">
        <f>IF(C28-E28&gt;0,MIN(Inputs!$B$20,C28-E28),0)</f>
        <v/>
      </c>
      <c r="H28" s="17">
        <f>IF(Inputs!$B$62+SUM(E$5:E28)+SUM(G$5:G27)&lt;Inputs!$B$72,1,0)</f>
        <v/>
      </c>
      <c r="I28" s="16">
        <f>MAX(0,C28-E28-G28)</f>
        <v/>
      </c>
    </row>
    <row r="29">
      <c r="A29" t="n">
        <v>25</v>
      </c>
      <c r="B29" s="15">
        <f>CEILING(A29/12,1)</f>
        <v/>
      </c>
      <c r="C29" s="16">
        <f>I28</f>
        <v/>
      </c>
      <c r="D29" s="16">
        <f>IF(AND(C29&gt;0.01,A29&lt;=Inputs!$B$65),Inputs!$B$66,0)</f>
        <v/>
      </c>
      <c r="E29" s="16">
        <f>IF(D29=0,0,MIN(D29-F29,C29))</f>
        <v/>
      </c>
      <c r="F29" s="16">
        <f>IF(C29&gt;0.01,C29*Inputs!$B$64,0)</f>
        <v/>
      </c>
      <c r="G29" s="16">
        <f>IF(C29-E29&gt;0,MIN(Inputs!$B$20,C29-E29),0)</f>
        <v/>
      </c>
      <c r="H29" s="17">
        <f>IF(Inputs!$B$62+SUM(E$5:E29)+SUM(G$5:G28)&lt;Inputs!$B$72,1,0)</f>
        <v/>
      </c>
      <c r="I29" s="16">
        <f>MAX(0,C29-E29-G29)</f>
        <v/>
      </c>
    </row>
    <row r="30">
      <c r="A30" t="n">
        <v>26</v>
      </c>
      <c r="B30" s="15">
        <f>CEILING(A30/12,1)</f>
        <v/>
      </c>
      <c r="C30" s="16">
        <f>I29</f>
        <v/>
      </c>
      <c r="D30" s="16">
        <f>IF(AND(C30&gt;0.01,A30&lt;=Inputs!$B$65),Inputs!$B$66,0)</f>
        <v/>
      </c>
      <c r="E30" s="16">
        <f>IF(D30=0,0,MIN(D30-F30,C30))</f>
        <v/>
      </c>
      <c r="F30" s="16">
        <f>IF(C30&gt;0.01,C30*Inputs!$B$64,0)</f>
        <v/>
      </c>
      <c r="G30" s="16">
        <f>IF(C30-E30&gt;0,MIN(Inputs!$B$20,C30-E30),0)</f>
        <v/>
      </c>
      <c r="H30" s="17">
        <f>IF(Inputs!$B$62+SUM(E$5:E30)+SUM(G$5:G29)&lt;Inputs!$B$72,1,0)</f>
        <v/>
      </c>
      <c r="I30" s="16">
        <f>MAX(0,C30-E30-G30)</f>
        <v/>
      </c>
    </row>
    <row r="31">
      <c r="A31" t="n">
        <v>27</v>
      </c>
      <c r="B31" s="15">
        <f>CEILING(A31/12,1)</f>
        <v/>
      </c>
      <c r="C31" s="16">
        <f>I30</f>
        <v/>
      </c>
      <c r="D31" s="16">
        <f>IF(AND(C31&gt;0.01,A31&lt;=Inputs!$B$65),Inputs!$B$66,0)</f>
        <v/>
      </c>
      <c r="E31" s="16">
        <f>IF(D31=0,0,MIN(D31-F31,C31))</f>
        <v/>
      </c>
      <c r="F31" s="16">
        <f>IF(C31&gt;0.01,C31*Inputs!$B$64,0)</f>
        <v/>
      </c>
      <c r="G31" s="16">
        <f>IF(C31-E31&gt;0,MIN(Inputs!$B$20,C31-E31),0)</f>
        <v/>
      </c>
      <c r="H31" s="17">
        <f>IF(Inputs!$B$62+SUM(E$5:E31)+SUM(G$5:G30)&lt;Inputs!$B$72,1,0)</f>
        <v/>
      </c>
      <c r="I31" s="16">
        <f>MAX(0,C31-E31-G31)</f>
        <v/>
      </c>
    </row>
    <row r="32">
      <c r="A32" t="n">
        <v>28</v>
      </c>
      <c r="B32" s="15">
        <f>CEILING(A32/12,1)</f>
        <v/>
      </c>
      <c r="C32" s="16">
        <f>I31</f>
        <v/>
      </c>
      <c r="D32" s="16">
        <f>IF(AND(C32&gt;0.01,A32&lt;=Inputs!$B$65),Inputs!$B$66,0)</f>
        <v/>
      </c>
      <c r="E32" s="16">
        <f>IF(D32=0,0,MIN(D32-F32,C32))</f>
        <v/>
      </c>
      <c r="F32" s="16">
        <f>IF(C32&gt;0.01,C32*Inputs!$B$64,0)</f>
        <v/>
      </c>
      <c r="G32" s="16">
        <f>IF(C32-E32&gt;0,MIN(Inputs!$B$20,C32-E32),0)</f>
        <v/>
      </c>
      <c r="H32" s="17">
        <f>IF(Inputs!$B$62+SUM(E$5:E32)+SUM(G$5:G31)&lt;Inputs!$B$72,1,0)</f>
        <v/>
      </c>
      <c r="I32" s="16">
        <f>MAX(0,C32-E32-G32)</f>
        <v/>
      </c>
    </row>
    <row r="33">
      <c r="A33" t="n">
        <v>29</v>
      </c>
      <c r="B33" s="15">
        <f>CEILING(A33/12,1)</f>
        <v/>
      </c>
      <c r="C33" s="16">
        <f>I32</f>
        <v/>
      </c>
      <c r="D33" s="16">
        <f>IF(AND(C33&gt;0.01,A33&lt;=Inputs!$B$65),Inputs!$B$66,0)</f>
        <v/>
      </c>
      <c r="E33" s="16">
        <f>IF(D33=0,0,MIN(D33-F33,C33))</f>
        <v/>
      </c>
      <c r="F33" s="16">
        <f>IF(C33&gt;0.01,C33*Inputs!$B$64,0)</f>
        <v/>
      </c>
      <c r="G33" s="16">
        <f>IF(C33-E33&gt;0,MIN(Inputs!$B$20,C33-E33),0)</f>
        <v/>
      </c>
      <c r="H33" s="17">
        <f>IF(Inputs!$B$62+SUM(E$5:E33)+SUM(G$5:G32)&lt;Inputs!$B$72,1,0)</f>
        <v/>
      </c>
      <c r="I33" s="16">
        <f>MAX(0,C33-E33-G33)</f>
        <v/>
      </c>
    </row>
    <row r="34">
      <c r="A34" t="n">
        <v>30</v>
      </c>
      <c r="B34" s="15">
        <f>CEILING(A34/12,1)</f>
        <v/>
      </c>
      <c r="C34" s="16">
        <f>I33</f>
        <v/>
      </c>
      <c r="D34" s="16">
        <f>IF(AND(C34&gt;0.01,A34&lt;=Inputs!$B$65),Inputs!$B$66,0)</f>
        <v/>
      </c>
      <c r="E34" s="16">
        <f>IF(D34=0,0,MIN(D34-F34,C34))</f>
        <v/>
      </c>
      <c r="F34" s="16">
        <f>IF(C34&gt;0.01,C34*Inputs!$B$64,0)</f>
        <v/>
      </c>
      <c r="G34" s="16">
        <f>IF(C34-E34&gt;0,MIN(Inputs!$B$20,C34-E34),0)</f>
        <v/>
      </c>
      <c r="H34" s="17">
        <f>IF(Inputs!$B$62+SUM(E$5:E34)+SUM(G$5:G33)&lt;Inputs!$B$72,1,0)</f>
        <v/>
      </c>
      <c r="I34" s="16">
        <f>MAX(0,C34-E34-G34)</f>
        <v/>
      </c>
    </row>
    <row r="35">
      <c r="A35" t="n">
        <v>31</v>
      </c>
      <c r="B35" s="15">
        <f>CEILING(A35/12,1)</f>
        <v/>
      </c>
      <c r="C35" s="16">
        <f>I34</f>
        <v/>
      </c>
      <c r="D35" s="16">
        <f>IF(AND(C35&gt;0.01,A35&lt;=Inputs!$B$65),Inputs!$B$66,0)</f>
        <v/>
      </c>
      <c r="E35" s="16">
        <f>IF(D35=0,0,MIN(D35-F35,C35))</f>
        <v/>
      </c>
      <c r="F35" s="16">
        <f>IF(C35&gt;0.01,C35*Inputs!$B$64,0)</f>
        <v/>
      </c>
      <c r="G35" s="16">
        <f>IF(C35-E35&gt;0,MIN(Inputs!$B$20,C35-E35),0)</f>
        <v/>
      </c>
      <c r="H35" s="17">
        <f>IF(Inputs!$B$62+SUM(E$5:E35)+SUM(G$5:G34)&lt;Inputs!$B$72,1,0)</f>
        <v/>
      </c>
      <c r="I35" s="16">
        <f>MAX(0,C35-E35-G35)</f>
        <v/>
      </c>
    </row>
    <row r="36">
      <c r="A36" t="n">
        <v>32</v>
      </c>
      <c r="B36" s="15">
        <f>CEILING(A36/12,1)</f>
        <v/>
      </c>
      <c r="C36" s="16">
        <f>I35</f>
        <v/>
      </c>
      <c r="D36" s="16">
        <f>IF(AND(C36&gt;0.01,A36&lt;=Inputs!$B$65),Inputs!$B$66,0)</f>
        <v/>
      </c>
      <c r="E36" s="16">
        <f>IF(D36=0,0,MIN(D36-F36,C36))</f>
        <v/>
      </c>
      <c r="F36" s="16">
        <f>IF(C36&gt;0.01,C36*Inputs!$B$64,0)</f>
        <v/>
      </c>
      <c r="G36" s="16">
        <f>IF(C36-E36&gt;0,MIN(Inputs!$B$20,C36-E36),0)</f>
        <v/>
      </c>
      <c r="H36" s="17">
        <f>IF(Inputs!$B$62+SUM(E$5:E36)+SUM(G$5:G35)&lt;Inputs!$B$72,1,0)</f>
        <v/>
      </c>
      <c r="I36" s="16">
        <f>MAX(0,C36-E36-G36)</f>
        <v/>
      </c>
    </row>
    <row r="37">
      <c r="A37" t="n">
        <v>33</v>
      </c>
      <c r="B37" s="15">
        <f>CEILING(A37/12,1)</f>
        <v/>
      </c>
      <c r="C37" s="16">
        <f>I36</f>
        <v/>
      </c>
      <c r="D37" s="16">
        <f>IF(AND(C37&gt;0.01,A37&lt;=Inputs!$B$65),Inputs!$B$66,0)</f>
        <v/>
      </c>
      <c r="E37" s="16">
        <f>IF(D37=0,0,MIN(D37-F37,C37))</f>
        <v/>
      </c>
      <c r="F37" s="16">
        <f>IF(C37&gt;0.01,C37*Inputs!$B$64,0)</f>
        <v/>
      </c>
      <c r="G37" s="16">
        <f>IF(C37-E37&gt;0,MIN(Inputs!$B$20,C37-E37),0)</f>
        <v/>
      </c>
      <c r="H37" s="17">
        <f>IF(Inputs!$B$62+SUM(E$5:E37)+SUM(G$5:G36)&lt;Inputs!$B$72,1,0)</f>
        <v/>
      </c>
      <c r="I37" s="16">
        <f>MAX(0,C37-E37-G37)</f>
        <v/>
      </c>
    </row>
    <row r="38">
      <c r="A38" t="n">
        <v>34</v>
      </c>
      <c r="B38" s="15">
        <f>CEILING(A38/12,1)</f>
        <v/>
      </c>
      <c r="C38" s="16">
        <f>I37</f>
        <v/>
      </c>
      <c r="D38" s="16">
        <f>IF(AND(C38&gt;0.01,A38&lt;=Inputs!$B$65),Inputs!$B$66,0)</f>
        <v/>
      </c>
      <c r="E38" s="16">
        <f>IF(D38=0,0,MIN(D38-F38,C38))</f>
        <v/>
      </c>
      <c r="F38" s="16">
        <f>IF(C38&gt;0.01,C38*Inputs!$B$64,0)</f>
        <v/>
      </c>
      <c r="G38" s="16">
        <f>IF(C38-E38&gt;0,MIN(Inputs!$B$20,C38-E38),0)</f>
        <v/>
      </c>
      <c r="H38" s="17">
        <f>IF(Inputs!$B$62+SUM(E$5:E38)+SUM(G$5:G37)&lt;Inputs!$B$72,1,0)</f>
        <v/>
      </c>
      <c r="I38" s="16">
        <f>MAX(0,C38-E38-G38)</f>
        <v/>
      </c>
    </row>
    <row r="39">
      <c r="A39" t="n">
        <v>35</v>
      </c>
      <c r="B39" s="15">
        <f>CEILING(A39/12,1)</f>
        <v/>
      </c>
      <c r="C39" s="16">
        <f>I38</f>
        <v/>
      </c>
      <c r="D39" s="16">
        <f>IF(AND(C39&gt;0.01,A39&lt;=Inputs!$B$65),Inputs!$B$66,0)</f>
        <v/>
      </c>
      <c r="E39" s="16">
        <f>IF(D39=0,0,MIN(D39-F39,C39))</f>
        <v/>
      </c>
      <c r="F39" s="16">
        <f>IF(C39&gt;0.01,C39*Inputs!$B$64,0)</f>
        <v/>
      </c>
      <c r="G39" s="16">
        <f>IF(C39-E39&gt;0,MIN(Inputs!$B$20,C39-E39),0)</f>
        <v/>
      </c>
      <c r="H39" s="17">
        <f>IF(Inputs!$B$62+SUM(E$5:E39)+SUM(G$5:G38)&lt;Inputs!$B$72,1,0)</f>
        <v/>
      </c>
      <c r="I39" s="16">
        <f>MAX(0,C39-E39-G39)</f>
        <v/>
      </c>
    </row>
    <row r="40">
      <c r="A40" t="n">
        <v>36</v>
      </c>
      <c r="B40" s="15">
        <f>CEILING(A40/12,1)</f>
        <v/>
      </c>
      <c r="C40" s="16">
        <f>I39</f>
        <v/>
      </c>
      <c r="D40" s="16">
        <f>IF(AND(C40&gt;0.01,A40&lt;=Inputs!$B$65),Inputs!$B$66,0)</f>
        <v/>
      </c>
      <c r="E40" s="16">
        <f>IF(D40=0,0,MIN(D40-F40,C40))</f>
        <v/>
      </c>
      <c r="F40" s="16">
        <f>IF(C40&gt;0.01,C40*Inputs!$B$64,0)</f>
        <v/>
      </c>
      <c r="G40" s="16">
        <f>IF(C40-E40&gt;0,MIN(Inputs!$B$20,C40-E40),0)</f>
        <v/>
      </c>
      <c r="H40" s="17">
        <f>IF(Inputs!$B$62+SUM(E$5:E40)+SUM(G$5:G39)&lt;Inputs!$B$72,1,0)</f>
        <v/>
      </c>
      <c r="I40" s="16">
        <f>MAX(0,C40-E40-G40)</f>
        <v/>
      </c>
    </row>
    <row r="41">
      <c r="A41" t="n">
        <v>37</v>
      </c>
      <c r="B41" s="15">
        <f>CEILING(A41/12,1)</f>
        <v/>
      </c>
      <c r="C41" s="16">
        <f>I40</f>
        <v/>
      </c>
      <c r="D41" s="16">
        <f>IF(AND(C41&gt;0.01,A41&lt;=Inputs!$B$65),Inputs!$B$66,0)</f>
        <v/>
      </c>
      <c r="E41" s="16">
        <f>IF(D41=0,0,MIN(D41-F41,C41))</f>
        <v/>
      </c>
      <c r="F41" s="16">
        <f>IF(C41&gt;0.01,C41*Inputs!$B$64,0)</f>
        <v/>
      </c>
      <c r="G41" s="16">
        <f>IF(C41-E41&gt;0,MIN(Inputs!$B$20,C41-E41),0)</f>
        <v/>
      </c>
      <c r="H41" s="17">
        <f>IF(Inputs!$B$62+SUM(E$5:E41)+SUM(G$5:G40)&lt;Inputs!$B$72,1,0)</f>
        <v/>
      </c>
      <c r="I41" s="16">
        <f>MAX(0,C41-E41-G41)</f>
        <v/>
      </c>
    </row>
    <row r="42">
      <c r="A42" t="n">
        <v>38</v>
      </c>
      <c r="B42" s="15">
        <f>CEILING(A42/12,1)</f>
        <v/>
      </c>
      <c r="C42" s="16">
        <f>I41</f>
        <v/>
      </c>
      <c r="D42" s="16">
        <f>IF(AND(C42&gt;0.01,A42&lt;=Inputs!$B$65),Inputs!$B$66,0)</f>
        <v/>
      </c>
      <c r="E42" s="16">
        <f>IF(D42=0,0,MIN(D42-F42,C42))</f>
        <v/>
      </c>
      <c r="F42" s="16">
        <f>IF(C42&gt;0.01,C42*Inputs!$B$64,0)</f>
        <v/>
      </c>
      <c r="G42" s="16">
        <f>IF(C42-E42&gt;0,MIN(Inputs!$B$20,C42-E42),0)</f>
        <v/>
      </c>
      <c r="H42" s="17">
        <f>IF(Inputs!$B$62+SUM(E$5:E42)+SUM(G$5:G41)&lt;Inputs!$B$72,1,0)</f>
        <v/>
      </c>
      <c r="I42" s="16">
        <f>MAX(0,C42-E42-G42)</f>
        <v/>
      </c>
    </row>
    <row r="43">
      <c r="A43" t="n">
        <v>39</v>
      </c>
      <c r="B43" s="15">
        <f>CEILING(A43/12,1)</f>
        <v/>
      </c>
      <c r="C43" s="16">
        <f>I42</f>
        <v/>
      </c>
      <c r="D43" s="16">
        <f>IF(AND(C43&gt;0.01,A43&lt;=Inputs!$B$65),Inputs!$B$66,0)</f>
        <v/>
      </c>
      <c r="E43" s="16">
        <f>IF(D43=0,0,MIN(D43-F43,C43))</f>
        <v/>
      </c>
      <c r="F43" s="16">
        <f>IF(C43&gt;0.01,C43*Inputs!$B$64,0)</f>
        <v/>
      </c>
      <c r="G43" s="16">
        <f>IF(C43-E43&gt;0,MIN(Inputs!$B$20,C43-E43),0)</f>
        <v/>
      </c>
      <c r="H43" s="17">
        <f>IF(Inputs!$B$62+SUM(E$5:E43)+SUM(G$5:G42)&lt;Inputs!$B$72,1,0)</f>
        <v/>
      </c>
      <c r="I43" s="16">
        <f>MAX(0,C43-E43-G43)</f>
        <v/>
      </c>
    </row>
    <row r="44">
      <c r="A44" t="n">
        <v>40</v>
      </c>
      <c r="B44" s="15">
        <f>CEILING(A44/12,1)</f>
        <v/>
      </c>
      <c r="C44" s="16">
        <f>I43</f>
        <v/>
      </c>
      <c r="D44" s="16">
        <f>IF(AND(C44&gt;0.01,A44&lt;=Inputs!$B$65),Inputs!$B$66,0)</f>
        <v/>
      </c>
      <c r="E44" s="16">
        <f>IF(D44=0,0,MIN(D44-F44,C44))</f>
        <v/>
      </c>
      <c r="F44" s="16">
        <f>IF(C44&gt;0.01,C44*Inputs!$B$64,0)</f>
        <v/>
      </c>
      <c r="G44" s="16">
        <f>IF(C44-E44&gt;0,MIN(Inputs!$B$20,C44-E44),0)</f>
        <v/>
      </c>
      <c r="H44" s="17">
        <f>IF(Inputs!$B$62+SUM(E$5:E44)+SUM(G$5:G43)&lt;Inputs!$B$72,1,0)</f>
        <v/>
      </c>
      <c r="I44" s="16">
        <f>MAX(0,C44-E44-G44)</f>
        <v/>
      </c>
    </row>
    <row r="45">
      <c r="A45" t="n">
        <v>41</v>
      </c>
      <c r="B45" s="15">
        <f>CEILING(A45/12,1)</f>
        <v/>
      </c>
      <c r="C45" s="16">
        <f>I44</f>
        <v/>
      </c>
      <c r="D45" s="16">
        <f>IF(AND(C45&gt;0.01,A45&lt;=Inputs!$B$65),Inputs!$B$66,0)</f>
        <v/>
      </c>
      <c r="E45" s="16">
        <f>IF(D45=0,0,MIN(D45-F45,C45))</f>
        <v/>
      </c>
      <c r="F45" s="16">
        <f>IF(C45&gt;0.01,C45*Inputs!$B$64,0)</f>
        <v/>
      </c>
      <c r="G45" s="16">
        <f>IF(C45-E45&gt;0,MIN(Inputs!$B$20,C45-E45),0)</f>
        <v/>
      </c>
      <c r="H45" s="17">
        <f>IF(Inputs!$B$62+SUM(E$5:E45)+SUM(G$5:G44)&lt;Inputs!$B$72,1,0)</f>
        <v/>
      </c>
      <c r="I45" s="16">
        <f>MAX(0,C45-E45-G45)</f>
        <v/>
      </c>
    </row>
    <row r="46">
      <c r="A46" t="n">
        <v>42</v>
      </c>
      <c r="B46" s="15">
        <f>CEILING(A46/12,1)</f>
        <v/>
      </c>
      <c r="C46" s="16">
        <f>I45</f>
        <v/>
      </c>
      <c r="D46" s="16">
        <f>IF(AND(C46&gt;0.01,A46&lt;=Inputs!$B$65),Inputs!$B$66,0)</f>
        <v/>
      </c>
      <c r="E46" s="16">
        <f>IF(D46=0,0,MIN(D46-F46,C46))</f>
        <v/>
      </c>
      <c r="F46" s="16">
        <f>IF(C46&gt;0.01,C46*Inputs!$B$64,0)</f>
        <v/>
      </c>
      <c r="G46" s="16">
        <f>IF(C46-E46&gt;0,MIN(Inputs!$B$20,C46-E46),0)</f>
        <v/>
      </c>
      <c r="H46" s="17">
        <f>IF(Inputs!$B$62+SUM(E$5:E46)+SUM(G$5:G45)&lt;Inputs!$B$72,1,0)</f>
        <v/>
      </c>
      <c r="I46" s="16">
        <f>MAX(0,C46-E46-G46)</f>
        <v/>
      </c>
    </row>
    <row r="47">
      <c r="A47" t="n">
        <v>43</v>
      </c>
      <c r="B47" s="15">
        <f>CEILING(A47/12,1)</f>
        <v/>
      </c>
      <c r="C47" s="16">
        <f>I46</f>
        <v/>
      </c>
      <c r="D47" s="16">
        <f>IF(AND(C47&gt;0.01,A47&lt;=Inputs!$B$65),Inputs!$B$66,0)</f>
        <v/>
      </c>
      <c r="E47" s="16">
        <f>IF(D47=0,0,MIN(D47-F47,C47))</f>
        <v/>
      </c>
      <c r="F47" s="16">
        <f>IF(C47&gt;0.01,C47*Inputs!$B$64,0)</f>
        <v/>
      </c>
      <c r="G47" s="16">
        <f>IF(C47-E47&gt;0,MIN(Inputs!$B$20,C47-E47),0)</f>
        <v/>
      </c>
      <c r="H47" s="17">
        <f>IF(Inputs!$B$62+SUM(E$5:E47)+SUM(G$5:G46)&lt;Inputs!$B$72,1,0)</f>
        <v/>
      </c>
      <c r="I47" s="16">
        <f>MAX(0,C47-E47-G47)</f>
        <v/>
      </c>
    </row>
    <row r="48">
      <c r="A48" t="n">
        <v>44</v>
      </c>
      <c r="B48" s="15">
        <f>CEILING(A48/12,1)</f>
        <v/>
      </c>
      <c r="C48" s="16">
        <f>I47</f>
        <v/>
      </c>
      <c r="D48" s="16">
        <f>IF(AND(C48&gt;0.01,A48&lt;=Inputs!$B$65),Inputs!$B$66,0)</f>
        <v/>
      </c>
      <c r="E48" s="16">
        <f>IF(D48=0,0,MIN(D48-F48,C48))</f>
        <v/>
      </c>
      <c r="F48" s="16">
        <f>IF(C48&gt;0.01,C48*Inputs!$B$64,0)</f>
        <v/>
      </c>
      <c r="G48" s="16">
        <f>IF(C48-E48&gt;0,MIN(Inputs!$B$20,C48-E48),0)</f>
        <v/>
      </c>
      <c r="H48" s="17">
        <f>IF(Inputs!$B$62+SUM(E$5:E48)+SUM(G$5:G47)&lt;Inputs!$B$72,1,0)</f>
        <v/>
      </c>
      <c r="I48" s="16">
        <f>MAX(0,C48-E48-G48)</f>
        <v/>
      </c>
    </row>
    <row r="49">
      <c r="A49" t="n">
        <v>45</v>
      </c>
      <c r="B49" s="15">
        <f>CEILING(A49/12,1)</f>
        <v/>
      </c>
      <c r="C49" s="16">
        <f>I48</f>
        <v/>
      </c>
      <c r="D49" s="16">
        <f>IF(AND(C49&gt;0.01,A49&lt;=Inputs!$B$65),Inputs!$B$66,0)</f>
        <v/>
      </c>
      <c r="E49" s="16">
        <f>IF(D49=0,0,MIN(D49-F49,C49))</f>
        <v/>
      </c>
      <c r="F49" s="16">
        <f>IF(C49&gt;0.01,C49*Inputs!$B$64,0)</f>
        <v/>
      </c>
      <c r="G49" s="16">
        <f>IF(C49-E49&gt;0,MIN(Inputs!$B$20,C49-E49),0)</f>
        <v/>
      </c>
      <c r="H49" s="17">
        <f>IF(Inputs!$B$62+SUM(E$5:E49)+SUM(G$5:G48)&lt;Inputs!$B$72,1,0)</f>
        <v/>
      </c>
      <c r="I49" s="16">
        <f>MAX(0,C49-E49-G49)</f>
        <v/>
      </c>
    </row>
    <row r="50">
      <c r="A50" t="n">
        <v>46</v>
      </c>
      <c r="B50" s="15">
        <f>CEILING(A50/12,1)</f>
        <v/>
      </c>
      <c r="C50" s="16">
        <f>I49</f>
        <v/>
      </c>
      <c r="D50" s="16">
        <f>IF(AND(C50&gt;0.01,A50&lt;=Inputs!$B$65),Inputs!$B$66,0)</f>
        <v/>
      </c>
      <c r="E50" s="16">
        <f>IF(D50=0,0,MIN(D50-F50,C50))</f>
        <v/>
      </c>
      <c r="F50" s="16">
        <f>IF(C50&gt;0.01,C50*Inputs!$B$64,0)</f>
        <v/>
      </c>
      <c r="G50" s="16">
        <f>IF(C50-E50&gt;0,MIN(Inputs!$B$20,C50-E50),0)</f>
        <v/>
      </c>
      <c r="H50" s="17">
        <f>IF(Inputs!$B$62+SUM(E$5:E50)+SUM(G$5:G49)&lt;Inputs!$B$72,1,0)</f>
        <v/>
      </c>
      <c r="I50" s="16">
        <f>MAX(0,C50-E50-G50)</f>
        <v/>
      </c>
    </row>
    <row r="51">
      <c r="A51" t="n">
        <v>47</v>
      </c>
      <c r="B51" s="15">
        <f>CEILING(A51/12,1)</f>
        <v/>
      </c>
      <c r="C51" s="16">
        <f>I50</f>
        <v/>
      </c>
      <c r="D51" s="16">
        <f>IF(AND(C51&gt;0.01,A51&lt;=Inputs!$B$65),Inputs!$B$66,0)</f>
        <v/>
      </c>
      <c r="E51" s="16">
        <f>IF(D51=0,0,MIN(D51-F51,C51))</f>
        <v/>
      </c>
      <c r="F51" s="16">
        <f>IF(C51&gt;0.01,C51*Inputs!$B$64,0)</f>
        <v/>
      </c>
      <c r="G51" s="16">
        <f>IF(C51-E51&gt;0,MIN(Inputs!$B$20,C51-E51),0)</f>
        <v/>
      </c>
      <c r="H51" s="17">
        <f>IF(Inputs!$B$62+SUM(E$5:E51)+SUM(G$5:G50)&lt;Inputs!$B$72,1,0)</f>
        <v/>
      </c>
      <c r="I51" s="16">
        <f>MAX(0,C51-E51-G51)</f>
        <v/>
      </c>
    </row>
    <row r="52">
      <c r="A52" t="n">
        <v>48</v>
      </c>
      <c r="B52" s="15">
        <f>CEILING(A52/12,1)</f>
        <v/>
      </c>
      <c r="C52" s="16">
        <f>I51</f>
        <v/>
      </c>
      <c r="D52" s="16">
        <f>IF(AND(C52&gt;0.01,A52&lt;=Inputs!$B$65),Inputs!$B$66,0)</f>
        <v/>
      </c>
      <c r="E52" s="16">
        <f>IF(D52=0,0,MIN(D52-F52,C52))</f>
        <v/>
      </c>
      <c r="F52" s="16">
        <f>IF(C52&gt;0.01,C52*Inputs!$B$64,0)</f>
        <v/>
      </c>
      <c r="G52" s="16">
        <f>IF(C52-E52&gt;0,MIN(Inputs!$B$20,C52-E52),0)</f>
        <v/>
      </c>
      <c r="H52" s="17">
        <f>IF(Inputs!$B$62+SUM(E$5:E52)+SUM(G$5:G51)&lt;Inputs!$B$72,1,0)</f>
        <v/>
      </c>
      <c r="I52" s="16">
        <f>MAX(0,C52-E52-G52)</f>
        <v/>
      </c>
    </row>
    <row r="53">
      <c r="A53" t="n">
        <v>49</v>
      </c>
      <c r="B53" s="15">
        <f>CEILING(A53/12,1)</f>
        <v/>
      </c>
      <c r="C53" s="16">
        <f>I52</f>
        <v/>
      </c>
      <c r="D53" s="16">
        <f>IF(AND(C53&gt;0.01,A53&lt;=Inputs!$B$65),Inputs!$B$66,0)</f>
        <v/>
      </c>
      <c r="E53" s="16">
        <f>IF(D53=0,0,MIN(D53-F53,C53))</f>
        <v/>
      </c>
      <c r="F53" s="16">
        <f>IF(C53&gt;0.01,C53*Inputs!$B$64,0)</f>
        <v/>
      </c>
      <c r="G53" s="16">
        <f>IF(C53-E53&gt;0,MIN(Inputs!$B$20,C53-E53),0)</f>
        <v/>
      </c>
      <c r="H53" s="17">
        <f>IF(Inputs!$B$62+SUM(E$5:E53)+SUM(G$5:G52)&lt;Inputs!$B$72,1,0)</f>
        <v/>
      </c>
      <c r="I53" s="16">
        <f>MAX(0,C53-E53-G53)</f>
        <v/>
      </c>
    </row>
    <row r="54">
      <c r="A54" t="n">
        <v>50</v>
      </c>
      <c r="B54" s="15">
        <f>CEILING(A54/12,1)</f>
        <v/>
      </c>
      <c r="C54" s="16">
        <f>I53</f>
        <v/>
      </c>
      <c r="D54" s="16">
        <f>IF(AND(C54&gt;0.01,A54&lt;=Inputs!$B$65),Inputs!$B$66,0)</f>
        <v/>
      </c>
      <c r="E54" s="16">
        <f>IF(D54=0,0,MIN(D54-F54,C54))</f>
        <v/>
      </c>
      <c r="F54" s="16">
        <f>IF(C54&gt;0.01,C54*Inputs!$B$64,0)</f>
        <v/>
      </c>
      <c r="G54" s="16">
        <f>IF(C54-E54&gt;0,MIN(Inputs!$B$20,C54-E54),0)</f>
        <v/>
      </c>
      <c r="H54" s="17">
        <f>IF(Inputs!$B$62+SUM(E$5:E54)+SUM(G$5:G53)&lt;Inputs!$B$72,1,0)</f>
        <v/>
      </c>
      <c r="I54" s="16">
        <f>MAX(0,C54-E54-G54)</f>
        <v/>
      </c>
    </row>
    <row r="55">
      <c r="A55" t="n">
        <v>51</v>
      </c>
      <c r="B55" s="15">
        <f>CEILING(A55/12,1)</f>
        <v/>
      </c>
      <c r="C55" s="16">
        <f>I54</f>
        <v/>
      </c>
      <c r="D55" s="16">
        <f>IF(AND(C55&gt;0.01,A55&lt;=Inputs!$B$65),Inputs!$B$66,0)</f>
        <v/>
      </c>
      <c r="E55" s="16">
        <f>IF(D55=0,0,MIN(D55-F55,C55))</f>
        <v/>
      </c>
      <c r="F55" s="16">
        <f>IF(C55&gt;0.01,C55*Inputs!$B$64,0)</f>
        <v/>
      </c>
      <c r="G55" s="16">
        <f>IF(C55-E55&gt;0,MIN(Inputs!$B$20,C55-E55),0)</f>
        <v/>
      </c>
      <c r="H55" s="17">
        <f>IF(Inputs!$B$62+SUM(E$5:E55)+SUM(G$5:G54)&lt;Inputs!$B$72,1,0)</f>
        <v/>
      </c>
      <c r="I55" s="16">
        <f>MAX(0,C55-E55-G55)</f>
        <v/>
      </c>
    </row>
    <row r="56">
      <c r="A56" t="n">
        <v>52</v>
      </c>
      <c r="B56" s="15">
        <f>CEILING(A56/12,1)</f>
        <v/>
      </c>
      <c r="C56" s="16">
        <f>I55</f>
        <v/>
      </c>
      <c r="D56" s="16">
        <f>IF(AND(C56&gt;0.01,A56&lt;=Inputs!$B$65),Inputs!$B$66,0)</f>
        <v/>
      </c>
      <c r="E56" s="16">
        <f>IF(D56=0,0,MIN(D56-F56,C56))</f>
        <v/>
      </c>
      <c r="F56" s="16">
        <f>IF(C56&gt;0.01,C56*Inputs!$B$64,0)</f>
        <v/>
      </c>
      <c r="G56" s="16">
        <f>IF(C56-E56&gt;0,MIN(Inputs!$B$20,C56-E56),0)</f>
        <v/>
      </c>
      <c r="H56" s="17">
        <f>IF(Inputs!$B$62+SUM(E$5:E56)+SUM(G$5:G55)&lt;Inputs!$B$72,1,0)</f>
        <v/>
      </c>
      <c r="I56" s="16">
        <f>MAX(0,C56-E56-G56)</f>
        <v/>
      </c>
    </row>
    <row r="57">
      <c r="A57" t="n">
        <v>53</v>
      </c>
      <c r="B57" s="15">
        <f>CEILING(A57/12,1)</f>
        <v/>
      </c>
      <c r="C57" s="16">
        <f>I56</f>
        <v/>
      </c>
      <c r="D57" s="16">
        <f>IF(AND(C57&gt;0.01,A57&lt;=Inputs!$B$65),Inputs!$B$66,0)</f>
        <v/>
      </c>
      <c r="E57" s="16">
        <f>IF(D57=0,0,MIN(D57-F57,C57))</f>
        <v/>
      </c>
      <c r="F57" s="16">
        <f>IF(C57&gt;0.01,C57*Inputs!$B$64,0)</f>
        <v/>
      </c>
      <c r="G57" s="16">
        <f>IF(C57-E57&gt;0,MIN(Inputs!$B$20,C57-E57),0)</f>
        <v/>
      </c>
      <c r="H57" s="17">
        <f>IF(Inputs!$B$62+SUM(E$5:E57)+SUM(G$5:G56)&lt;Inputs!$B$72,1,0)</f>
        <v/>
      </c>
      <c r="I57" s="16">
        <f>MAX(0,C57-E57-G57)</f>
        <v/>
      </c>
    </row>
    <row r="58">
      <c r="A58" t="n">
        <v>54</v>
      </c>
      <c r="B58" s="15">
        <f>CEILING(A58/12,1)</f>
        <v/>
      </c>
      <c r="C58" s="16">
        <f>I57</f>
        <v/>
      </c>
      <c r="D58" s="16">
        <f>IF(AND(C58&gt;0.01,A58&lt;=Inputs!$B$65),Inputs!$B$66,0)</f>
        <v/>
      </c>
      <c r="E58" s="16">
        <f>IF(D58=0,0,MIN(D58-F58,C58))</f>
        <v/>
      </c>
      <c r="F58" s="16">
        <f>IF(C58&gt;0.01,C58*Inputs!$B$64,0)</f>
        <v/>
      </c>
      <c r="G58" s="16">
        <f>IF(C58-E58&gt;0,MIN(Inputs!$B$20,C58-E58),0)</f>
        <v/>
      </c>
      <c r="H58" s="17">
        <f>IF(Inputs!$B$62+SUM(E$5:E58)+SUM(G$5:G57)&lt;Inputs!$B$72,1,0)</f>
        <v/>
      </c>
      <c r="I58" s="16">
        <f>MAX(0,C58-E58-G58)</f>
        <v/>
      </c>
    </row>
    <row r="59">
      <c r="A59" t="n">
        <v>55</v>
      </c>
      <c r="B59" s="15">
        <f>CEILING(A59/12,1)</f>
        <v/>
      </c>
      <c r="C59" s="16">
        <f>I58</f>
        <v/>
      </c>
      <c r="D59" s="16">
        <f>IF(AND(C59&gt;0.01,A59&lt;=Inputs!$B$65),Inputs!$B$66,0)</f>
        <v/>
      </c>
      <c r="E59" s="16">
        <f>IF(D59=0,0,MIN(D59-F59,C59))</f>
        <v/>
      </c>
      <c r="F59" s="16">
        <f>IF(C59&gt;0.01,C59*Inputs!$B$64,0)</f>
        <v/>
      </c>
      <c r="G59" s="16">
        <f>IF(C59-E59&gt;0,MIN(Inputs!$B$20,C59-E59),0)</f>
        <v/>
      </c>
      <c r="H59" s="17">
        <f>IF(Inputs!$B$62+SUM(E$5:E59)+SUM(G$5:G58)&lt;Inputs!$B$72,1,0)</f>
        <v/>
      </c>
      <c r="I59" s="16">
        <f>MAX(0,C59-E59-G59)</f>
        <v/>
      </c>
    </row>
    <row r="60">
      <c r="A60" t="n">
        <v>56</v>
      </c>
      <c r="B60" s="15">
        <f>CEILING(A60/12,1)</f>
        <v/>
      </c>
      <c r="C60" s="16">
        <f>I59</f>
        <v/>
      </c>
      <c r="D60" s="16">
        <f>IF(AND(C60&gt;0.01,A60&lt;=Inputs!$B$65),Inputs!$B$66,0)</f>
        <v/>
      </c>
      <c r="E60" s="16">
        <f>IF(D60=0,0,MIN(D60-F60,C60))</f>
        <v/>
      </c>
      <c r="F60" s="16">
        <f>IF(C60&gt;0.01,C60*Inputs!$B$64,0)</f>
        <v/>
      </c>
      <c r="G60" s="16">
        <f>IF(C60-E60&gt;0,MIN(Inputs!$B$20,C60-E60),0)</f>
        <v/>
      </c>
      <c r="H60" s="17">
        <f>IF(Inputs!$B$62+SUM(E$5:E60)+SUM(G$5:G59)&lt;Inputs!$B$72,1,0)</f>
        <v/>
      </c>
      <c r="I60" s="16">
        <f>MAX(0,C60-E60-G60)</f>
        <v/>
      </c>
    </row>
    <row r="61">
      <c r="A61" t="n">
        <v>57</v>
      </c>
      <c r="B61" s="15">
        <f>CEILING(A61/12,1)</f>
        <v/>
      </c>
      <c r="C61" s="16">
        <f>I60</f>
        <v/>
      </c>
      <c r="D61" s="16">
        <f>IF(AND(C61&gt;0.01,A61&lt;=Inputs!$B$65),Inputs!$B$66,0)</f>
        <v/>
      </c>
      <c r="E61" s="16">
        <f>IF(D61=0,0,MIN(D61-F61,C61))</f>
        <v/>
      </c>
      <c r="F61" s="16">
        <f>IF(C61&gt;0.01,C61*Inputs!$B$64,0)</f>
        <v/>
      </c>
      <c r="G61" s="16">
        <f>IF(C61-E61&gt;0,MIN(Inputs!$B$20,C61-E61),0)</f>
        <v/>
      </c>
      <c r="H61" s="17">
        <f>IF(Inputs!$B$62+SUM(E$5:E61)+SUM(G$5:G60)&lt;Inputs!$B$72,1,0)</f>
        <v/>
      </c>
      <c r="I61" s="16">
        <f>MAX(0,C61-E61-G61)</f>
        <v/>
      </c>
    </row>
    <row r="62">
      <c r="A62" t="n">
        <v>58</v>
      </c>
      <c r="B62" s="15">
        <f>CEILING(A62/12,1)</f>
        <v/>
      </c>
      <c r="C62" s="16">
        <f>I61</f>
        <v/>
      </c>
      <c r="D62" s="16">
        <f>IF(AND(C62&gt;0.01,A62&lt;=Inputs!$B$65),Inputs!$B$66,0)</f>
        <v/>
      </c>
      <c r="E62" s="16">
        <f>IF(D62=0,0,MIN(D62-F62,C62))</f>
        <v/>
      </c>
      <c r="F62" s="16">
        <f>IF(C62&gt;0.01,C62*Inputs!$B$64,0)</f>
        <v/>
      </c>
      <c r="G62" s="16">
        <f>IF(C62-E62&gt;0,MIN(Inputs!$B$20,C62-E62),0)</f>
        <v/>
      </c>
      <c r="H62" s="17">
        <f>IF(Inputs!$B$62+SUM(E$5:E62)+SUM(G$5:G61)&lt;Inputs!$B$72,1,0)</f>
        <v/>
      </c>
      <c r="I62" s="16">
        <f>MAX(0,C62-E62-G62)</f>
        <v/>
      </c>
    </row>
    <row r="63">
      <c r="A63" t="n">
        <v>59</v>
      </c>
      <c r="B63" s="15">
        <f>CEILING(A63/12,1)</f>
        <v/>
      </c>
      <c r="C63" s="16">
        <f>I62</f>
        <v/>
      </c>
      <c r="D63" s="16">
        <f>IF(AND(C63&gt;0.01,A63&lt;=Inputs!$B$65),Inputs!$B$66,0)</f>
        <v/>
      </c>
      <c r="E63" s="16">
        <f>IF(D63=0,0,MIN(D63-F63,C63))</f>
        <v/>
      </c>
      <c r="F63" s="16">
        <f>IF(C63&gt;0.01,C63*Inputs!$B$64,0)</f>
        <v/>
      </c>
      <c r="G63" s="16">
        <f>IF(C63-E63&gt;0,MIN(Inputs!$B$20,C63-E63),0)</f>
        <v/>
      </c>
      <c r="H63" s="17">
        <f>IF(Inputs!$B$62+SUM(E$5:E63)+SUM(G$5:G62)&lt;Inputs!$B$72,1,0)</f>
        <v/>
      </c>
      <c r="I63" s="16">
        <f>MAX(0,C63-E63-G63)</f>
        <v/>
      </c>
    </row>
    <row r="64">
      <c r="A64" t="n">
        <v>60</v>
      </c>
      <c r="B64" s="15">
        <f>CEILING(A64/12,1)</f>
        <v/>
      </c>
      <c r="C64" s="16">
        <f>I63</f>
        <v/>
      </c>
      <c r="D64" s="16">
        <f>IF(AND(C64&gt;0.01,A64&lt;=Inputs!$B$65),Inputs!$B$66,0)</f>
        <v/>
      </c>
      <c r="E64" s="16">
        <f>IF(D64=0,0,MIN(D64-F64,C64))</f>
        <v/>
      </c>
      <c r="F64" s="16">
        <f>IF(C64&gt;0.01,C64*Inputs!$B$64,0)</f>
        <v/>
      </c>
      <c r="G64" s="16">
        <f>IF(C64-E64&gt;0,MIN(Inputs!$B$20,C64-E64),0)</f>
        <v/>
      </c>
      <c r="H64" s="17">
        <f>IF(Inputs!$B$62+SUM(E$5:E64)+SUM(G$5:G63)&lt;Inputs!$B$72,1,0)</f>
        <v/>
      </c>
      <c r="I64" s="16">
        <f>MAX(0,C64-E64-G64)</f>
        <v/>
      </c>
    </row>
    <row r="65">
      <c r="A65" t="n">
        <v>61</v>
      </c>
      <c r="B65" s="15">
        <f>CEILING(A65/12,1)</f>
        <v/>
      </c>
      <c r="C65" s="16">
        <f>I64</f>
        <v/>
      </c>
      <c r="D65" s="16">
        <f>IF(AND(C65&gt;0.01,A65&lt;=Inputs!$B$65),Inputs!$B$66,0)</f>
        <v/>
      </c>
      <c r="E65" s="16">
        <f>IF(D65=0,0,MIN(D65-F65,C65))</f>
        <v/>
      </c>
      <c r="F65" s="16">
        <f>IF(C65&gt;0.01,C65*Inputs!$B$64,0)</f>
        <v/>
      </c>
      <c r="G65" s="16">
        <f>IF(C65-E65&gt;0,MIN(Inputs!$B$20,C65-E65),0)</f>
        <v/>
      </c>
      <c r="H65" s="17">
        <f>IF(Inputs!$B$62+SUM(E$5:E65)+SUM(G$5:G64)&lt;Inputs!$B$72,1,0)</f>
        <v/>
      </c>
      <c r="I65" s="16">
        <f>MAX(0,C65-E65-G65)</f>
        <v/>
      </c>
    </row>
    <row r="66">
      <c r="A66" t="n">
        <v>62</v>
      </c>
      <c r="B66" s="15">
        <f>CEILING(A66/12,1)</f>
        <v/>
      </c>
      <c r="C66" s="16">
        <f>I65</f>
        <v/>
      </c>
      <c r="D66" s="16">
        <f>IF(AND(C66&gt;0.01,A66&lt;=Inputs!$B$65),Inputs!$B$66,0)</f>
        <v/>
      </c>
      <c r="E66" s="16">
        <f>IF(D66=0,0,MIN(D66-F66,C66))</f>
        <v/>
      </c>
      <c r="F66" s="16">
        <f>IF(C66&gt;0.01,C66*Inputs!$B$64,0)</f>
        <v/>
      </c>
      <c r="G66" s="16">
        <f>IF(C66-E66&gt;0,MIN(Inputs!$B$20,C66-E66),0)</f>
        <v/>
      </c>
      <c r="H66" s="17">
        <f>IF(Inputs!$B$62+SUM(E$5:E66)+SUM(G$5:G65)&lt;Inputs!$B$72,1,0)</f>
        <v/>
      </c>
      <c r="I66" s="16">
        <f>MAX(0,C66-E66-G66)</f>
        <v/>
      </c>
    </row>
    <row r="67">
      <c r="A67" t="n">
        <v>63</v>
      </c>
      <c r="B67" s="15">
        <f>CEILING(A67/12,1)</f>
        <v/>
      </c>
      <c r="C67" s="16">
        <f>I66</f>
        <v/>
      </c>
      <c r="D67" s="16">
        <f>IF(AND(C67&gt;0.01,A67&lt;=Inputs!$B$65),Inputs!$B$66,0)</f>
        <v/>
      </c>
      <c r="E67" s="16">
        <f>IF(D67=0,0,MIN(D67-F67,C67))</f>
        <v/>
      </c>
      <c r="F67" s="16">
        <f>IF(C67&gt;0.01,C67*Inputs!$B$64,0)</f>
        <v/>
      </c>
      <c r="G67" s="16">
        <f>IF(C67-E67&gt;0,MIN(Inputs!$B$20,C67-E67),0)</f>
        <v/>
      </c>
      <c r="H67" s="17">
        <f>IF(Inputs!$B$62+SUM(E$5:E67)+SUM(G$5:G66)&lt;Inputs!$B$72,1,0)</f>
        <v/>
      </c>
      <c r="I67" s="16">
        <f>MAX(0,C67-E67-G67)</f>
        <v/>
      </c>
    </row>
    <row r="68">
      <c r="A68" t="n">
        <v>64</v>
      </c>
      <c r="B68" s="15">
        <f>CEILING(A68/12,1)</f>
        <v/>
      </c>
      <c r="C68" s="16">
        <f>I67</f>
        <v/>
      </c>
      <c r="D68" s="16">
        <f>IF(AND(C68&gt;0.01,A68&lt;=Inputs!$B$65),Inputs!$B$66,0)</f>
        <v/>
      </c>
      <c r="E68" s="16">
        <f>IF(D68=0,0,MIN(D68-F68,C68))</f>
        <v/>
      </c>
      <c r="F68" s="16">
        <f>IF(C68&gt;0.01,C68*Inputs!$B$64,0)</f>
        <v/>
      </c>
      <c r="G68" s="16">
        <f>IF(C68-E68&gt;0,MIN(Inputs!$B$20,C68-E68),0)</f>
        <v/>
      </c>
      <c r="H68" s="17">
        <f>IF(Inputs!$B$62+SUM(E$5:E68)+SUM(G$5:G67)&lt;Inputs!$B$72,1,0)</f>
        <v/>
      </c>
      <c r="I68" s="16">
        <f>MAX(0,C68-E68-G68)</f>
        <v/>
      </c>
    </row>
    <row r="69">
      <c r="A69" t="n">
        <v>65</v>
      </c>
      <c r="B69" s="15">
        <f>CEILING(A69/12,1)</f>
        <v/>
      </c>
      <c r="C69" s="16">
        <f>I68</f>
        <v/>
      </c>
      <c r="D69" s="16">
        <f>IF(AND(C69&gt;0.01,A69&lt;=Inputs!$B$65),Inputs!$B$66,0)</f>
        <v/>
      </c>
      <c r="E69" s="16">
        <f>IF(D69=0,0,MIN(D69-F69,C69))</f>
        <v/>
      </c>
      <c r="F69" s="16">
        <f>IF(C69&gt;0.01,C69*Inputs!$B$64,0)</f>
        <v/>
      </c>
      <c r="G69" s="16">
        <f>IF(C69-E69&gt;0,MIN(Inputs!$B$20,C69-E69),0)</f>
        <v/>
      </c>
      <c r="H69" s="17">
        <f>IF(Inputs!$B$62+SUM(E$5:E69)+SUM(G$5:G68)&lt;Inputs!$B$72,1,0)</f>
        <v/>
      </c>
      <c r="I69" s="16">
        <f>MAX(0,C69-E69-G69)</f>
        <v/>
      </c>
    </row>
    <row r="70">
      <c r="A70" t="n">
        <v>66</v>
      </c>
      <c r="B70" s="15">
        <f>CEILING(A70/12,1)</f>
        <v/>
      </c>
      <c r="C70" s="16">
        <f>I69</f>
        <v/>
      </c>
      <c r="D70" s="16">
        <f>IF(AND(C70&gt;0.01,A70&lt;=Inputs!$B$65),Inputs!$B$66,0)</f>
        <v/>
      </c>
      <c r="E70" s="16">
        <f>IF(D70=0,0,MIN(D70-F70,C70))</f>
        <v/>
      </c>
      <c r="F70" s="16">
        <f>IF(C70&gt;0.01,C70*Inputs!$B$64,0)</f>
        <v/>
      </c>
      <c r="G70" s="16">
        <f>IF(C70-E70&gt;0,MIN(Inputs!$B$20,C70-E70),0)</f>
        <v/>
      </c>
      <c r="H70" s="17">
        <f>IF(Inputs!$B$62+SUM(E$5:E70)+SUM(G$5:G69)&lt;Inputs!$B$72,1,0)</f>
        <v/>
      </c>
      <c r="I70" s="16">
        <f>MAX(0,C70-E70-G70)</f>
        <v/>
      </c>
    </row>
    <row r="71">
      <c r="A71" t="n">
        <v>67</v>
      </c>
      <c r="B71" s="15">
        <f>CEILING(A71/12,1)</f>
        <v/>
      </c>
      <c r="C71" s="16">
        <f>I70</f>
        <v/>
      </c>
      <c r="D71" s="16">
        <f>IF(AND(C71&gt;0.01,A71&lt;=Inputs!$B$65),Inputs!$B$66,0)</f>
        <v/>
      </c>
      <c r="E71" s="16">
        <f>IF(D71=0,0,MIN(D71-F71,C71))</f>
        <v/>
      </c>
      <c r="F71" s="16">
        <f>IF(C71&gt;0.01,C71*Inputs!$B$64,0)</f>
        <v/>
      </c>
      <c r="G71" s="16">
        <f>IF(C71-E71&gt;0,MIN(Inputs!$B$20,C71-E71),0)</f>
        <v/>
      </c>
      <c r="H71" s="17">
        <f>IF(Inputs!$B$62+SUM(E$5:E71)+SUM(G$5:G70)&lt;Inputs!$B$72,1,0)</f>
        <v/>
      </c>
      <c r="I71" s="16">
        <f>MAX(0,C71-E71-G71)</f>
        <v/>
      </c>
    </row>
    <row r="72">
      <c r="A72" t="n">
        <v>68</v>
      </c>
      <c r="B72" s="15">
        <f>CEILING(A72/12,1)</f>
        <v/>
      </c>
      <c r="C72" s="16">
        <f>I71</f>
        <v/>
      </c>
      <c r="D72" s="16">
        <f>IF(AND(C72&gt;0.01,A72&lt;=Inputs!$B$65),Inputs!$B$66,0)</f>
        <v/>
      </c>
      <c r="E72" s="16">
        <f>IF(D72=0,0,MIN(D72-F72,C72))</f>
        <v/>
      </c>
      <c r="F72" s="16">
        <f>IF(C72&gt;0.01,C72*Inputs!$B$64,0)</f>
        <v/>
      </c>
      <c r="G72" s="16">
        <f>IF(C72-E72&gt;0,MIN(Inputs!$B$20,C72-E72),0)</f>
        <v/>
      </c>
      <c r="H72" s="17">
        <f>IF(Inputs!$B$62+SUM(E$5:E72)+SUM(G$5:G71)&lt;Inputs!$B$72,1,0)</f>
        <v/>
      </c>
      <c r="I72" s="16">
        <f>MAX(0,C72-E72-G72)</f>
        <v/>
      </c>
    </row>
    <row r="73">
      <c r="A73" t="n">
        <v>69</v>
      </c>
      <c r="B73" s="15">
        <f>CEILING(A73/12,1)</f>
        <v/>
      </c>
      <c r="C73" s="16">
        <f>I72</f>
        <v/>
      </c>
      <c r="D73" s="16">
        <f>IF(AND(C73&gt;0.01,A73&lt;=Inputs!$B$65),Inputs!$B$66,0)</f>
        <v/>
      </c>
      <c r="E73" s="16">
        <f>IF(D73=0,0,MIN(D73-F73,C73))</f>
        <v/>
      </c>
      <c r="F73" s="16">
        <f>IF(C73&gt;0.01,C73*Inputs!$B$64,0)</f>
        <v/>
      </c>
      <c r="G73" s="16">
        <f>IF(C73-E73&gt;0,MIN(Inputs!$B$20,C73-E73),0)</f>
        <v/>
      </c>
      <c r="H73" s="17">
        <f>IF(Inputs!$B$62+SUM(E$5:E73)+SUM(G$5:G72)&lt;Inputs!$B$72,1,0)</f>
        <v/>
      </c>
      <c r="I73" s="16">
        <f>MAX(0,C73-E73-G73)</f>
        <v/>
      </c>
    </row>
    <row r="74">
      <c r="A74" t="n">
        <v>70</v>
      </c>
      <c r="B74" s="15">
        <f>CEILING(A74/12,1)</f>
        <v/>
      </c>
      <c r="C74" s="16">
        <f>I73</f>
        <v/>
      </c>
      <c r="D74" s="16">
        <f>IF(AND(C74&gt;0.01,A74&lt;=Inputs!$B$65),Inputs!$B$66,0)</f>
        <v/>
      </c>
      <c r="E74" s="16">
        <f>IF(D74=0,0,MIN(D74-F74,C74))</f>
        <v/>
      </c>
      <c r="F74" s="16">
        <f>IF(C74&gt;0.01,C74*Inputs!$B$64,0)</f>
        <v/>
      </c>
      <c r="G74" s="16">
        <f>IF(C74-E74&gt;0,MIN(Inputs!$B$20,C74-E74),0)</f>
        <v/>
      </c>
      <c r="H74" s="17">
        <f>IF(Inputs!$B$62+SUM(E$5:E74)+SUM(G$5:G73)&lt;Inputs!$B$72,1,0)</f>
        <v/>
      </c>
      <c r="I74" s="16">
        <f>MAX(0,C74-E74-G74)</f>
        <v/>
      </c>
    </row>
    <row r="75">
      <c r="A75" t="n">
        <v>71</v>
      </c>
      <c r="B75" s="15">
        <f>CEILING(A75/12,1)</f>
        <v/>
      </c>
      <c r="C75" s="16">
        <f>I74</f>
        <v/>
      </c>
      <c r="D75" s="16">
        <f>IF(AND(C75&gt;0.01,A75&lt;=Inputs!$B$65),Inputs!$B$66,0)</f>
        <v/>
      </c>
      <c r="E75" s="16">
        <f>IF(D75=0,0,MIN(D75-F75,C75))</f>
        <v/>
      </c>
      <c r="F75" s="16">
        <f>IF(C75&gt;0.01,C75*Inputs!$B$64,0)</f>
        <v/>
      </c>
      <c r="G75" s="16">
        <f>IF(C75-E75&gt;0,MIN(Inputs!$B$20,C75-E75),0)</f>
        <v/>
      </c>
      <c r="H75" s="17">
        <f>IF(Inputs!$B$62+SUM(E$5:E75)+SUM(G$5:G74)&lt;Inputs!$B$72,1,0)</f>
        <v/>
      </c>
      <c r="I75" s="16">
        <f>MAX(0,C75-E75-G75)</f>
        <v/>
      </c>
    </row>
    <row r="76">
      <c r="A76" t="n">
        <v>72</v>
      </c>
      <c r="B76" s="15">
        <f>CEILING(A76/12,1)</f>
        <v/>
      </c>
      <c r="C76" s="16">
        <f>I75</f>
        <v/>
      </c>
      <c r="D76" s="16">
        <f>IF(AND(C76&gt;0.01,A76&lt;=Inputs!$B$65),Inputs!$B$66,0)</f>
        <v/>
      </c>
      <c r="E76" s="16">
        <f>IF(D76=0,0,MIN(D76-F76,C76))</f>
        <v/>
      </c>
      <c r="F76" s="16">
        <f>IF(C76&gt;0.01,C76*Inputs!$B$64,0)</f>
        <v/>
      </c>
      <c r="G76" s="16">
        <f>IF(C76-E76&gt;0,MIN(Inputs!$B$20,C76-E76),0)</f>
        <v/>
      </c>
      <c r="H76" s="17">
        <f>IF(Inputs!$B$62+SUM(E$5:E76)+SUM(G$5:G75)&lt;Inputs!$B$72,1,0)</f>
        <v/>
      </c>
      <c r="I76" s="16">
        <f>MAX(0,C76-E76-G76)</f>
        <v/>
      </c>
    </row>
    <row r="77">
      <c r="A77" t="n">
        <v>73</v>
      </c>
      <c r="B77" s="15">
        <f>CEILING(A77/12,1)</f>
        <v/>
      </c>
      <c r="C77" s="16">
        <f>I76</f>
        <v/>
      </c>
      <c r="D77" s="16">
        <f>IF(AND(C77&gt;0.01,A77&lt;=Inputs!$B$65),Inputs!$B$66,0)</f>
        <v/>
      </c>
      <c r="E77" s="16">
        <f>IF(D77=0,0,MIN(D77-F77,C77))</f>
        <v/>
      </c>
      <c r="F77" s="16">
        <f>IF(C77&gt;0.01,C77*Inputs!$B$64,0)</f>
        <v/>
      </c>
      <c r="G77" s="16">
        <f>IF(C77-E77&gt;0,MIN(Inputs!$B$20,C77-E77),0)</f>
        <v/>
      </c>
      <c r="H77" s="17">
        <f>IF(Inputs!$B$62+SUM(E$5:E77)+SUM(G$5:G76)&lt;Inputs!$B$72,1,0)</f>
        <v/>
      </c>
      <c r="I77" s="16">
        <f>MAX(0,C77-E77-G77)</f>
        <v/>
      </c>
    </row>
    <row r="78">
      <c r="A78" t="n">
        <v>74</v>
      </c>
      <c r="B78" s="15">
        <f>CEILING(A78/12,1)</f>
        <v/>
      </c>
      <c r="C78" s="16">
        <f>I77</f>
        <v/>
      </c>
      <c r="D78" s="16">
        <f>IF(AND(C78&gt;0.01,A78&lt;=Inputs!$B$65),Inputs!$B$66,0)</f>
        <v/>
      </c>
      <c r="E78" s="16">
        <f>IF(D78=0,0,MIN(D78-F78,C78))</f>
        <v/>
      </c>
      <c r="F78" s="16">
        <f>IF(C78&gt;0.01,C78*Inputs!$B$64,0)</f>
        <v/>
      </c>
      <c r="G78" s="16">
        <f>IF(C78-E78&gt;0,MIN(Inputs!$B$20,C78-E78),0)</f>
        <v/>
      </c>
      <c r="H78" s="17">
        <f>IF(Inputs!$B$62+SUM(E$5:E78)+SUM(G$5:G77)&lt;Inputs!$B$72,1,0)</f>
        <v/>
      </c>
      <c r="I78" s="16">
        <f>MAX(0,C78-E78-G78)</f>
        <v/>
      </c>
    </row>
    <row r="79">
      <c r="A79" t="n">
        <v>75</v>
      </c>
      <c r="B79" s="15">
        <f>CEILING(A79/12,1)</f>
        <v/>
      </c>
      <c r="C79" s="16">
        <f>I78</f>
        <v/>
      </c>
      <c r="D79" s="16">
        <f>IF(AND(C79&gt;0.01,A79&lt;=Inputs!$B$65),Inputs!$B$66,0)</f>
        <v/>
      </c>
      <c r="E79" s="16">
        <f>IF(D79=0,0,MIN(D79-F79,C79))</f>
        <v/>
      </c>
      <c r="F79" s="16">
        <f>IF(C79&gt;0.01,C79*Inputs!$B$64,0)</f>
        <v/>
      </c>
      <c r="G79" s="16">
        <f>IF(C79-E79&gt;0,MIN(Inputs!$B$20,C79-E79),0)</f>
        <v/>
      </c>
      <c r="H79" s="17">
        <f>IF(Inputs!$B$62+SUM(E$5:E79)+SUM(G$5:G78)&lt;Inputs!$B$72,1,0)</f>
        <v/>
      </c>
      <c r="I79" s="16">
        <f>MAX(0,C79-E79-G79)</f>
        <v/>
      </c>
    </row>
    <row r="80">
      <c r="A80" t="n">
        <v>76</v>
      </c>
      <c r="B80" s="15">
        <f>CEILING(A80/12,1)</f>
        <v/>
      </c>
      <c r="C80" s="16">
        <f>I79</f>
        <v/>
      </c>
      <c r="D80" s="16">
        <f>IF(AND(C80&gt;0.01,A80&lt;=Inputs!$B$65),Inputs!$B$66,0)</f>
        <v/>
      </c>
      <c r="E80" s="16">
        <f>IF(D80=0,0,MIN(D80-F80,C80))</f>
        <v/>
      </c>
      <c r="F80" s="16">
        <f>IF(C80&gt;0.01,C80*Inputs!$B$64,0)</f>
        <v/>
      </c>
      <c r="G80" s="16">
        <f>IF(C80-E80&gt;0,MIN(Inputs!$B$20,C80-E80),0)</f>
        <v/>
      </c>
      <c r="H80" s="17">
        <f>IF(Inputs!$B$62+SUM(E$5:E80)+SUM(G$5:G79)&lt;Inputs!$B$72,1,0)</f>
        <v/>
      </c>
      <c r="I80" s="16">
        <f>MAX(0,C80-E80-G80)</f>
        <v/>
      </c>
    </row>
    <row r="81">
      <c r="A81" t="n">
        <v>77</v>
      </c>
      <c r="B81" s="15">
        <f>CEILING(A81/12,1)</f>
        <v/>
      </c>
      <c r="C81" s="16">
        <f>I80</f>
        <v/>
      </c>
      <c r="D81" s="16">
        <f>IF(AND(C81&gt;0.01,A81&lt;=Inputs!$B$65),Inputs!$B$66,0)</f>
        <v/>
      </c>
      <c r="E81" s="16">
        <f>IF(D81=0,0,MIN(D81-F81,C81))</f>
        <v/>
      </c>
      <c r="F81" s="16">
        <f>IF(C81&gt;0.01,C81*Inputs!$B$64,0)</f>
        <v/>
      </c>
      <c r="G81" s="16">
        <f>IF(C81-E81&gt;0,MIN(Inputs!$B$20,C81-E81),0)</f>
        <v/>
      </c>
      <c r="H81" s="17">
        <f>IF(Inputs!$B$62+SUM(E$5:E81)+SUM(G$5:G80)&lt;Inputs!$B$72,1,0)</f>
        <v/>
      </c>
      <c r="I81" s="16">
        <f>MAX(0,C81-E81-G81)</f>
        <v/>
      </c>
    </row>
    <row r="82">
      <c r="A82" t="n">
        <v>78</v>
      </c>
      <c r="B82" s="15">
        <f>CEILING(A82/12,1)</f>
        <v/>
      </c>
      <c r="C82" s="16">
        <f>I81</f>
        <v/>
      </c>
      <c r="D82" s="16">
        <f>IF(AND(C82&gt;0.01,A82&lt;=Inputs!$B$65),Inputs!$B$66,0)</f>
        <v/>
      </c>
      <c r="E82" s="16">
        <f>IF(D82=0,0,MIN(D82-F82,C82))</f>
        <v/>
      </c>
      <c r="F82" s="16">
        <f>IF(C82&gt;0.01,C82*Inputs!$B$64,0)</f>
        <v/>
      </c>
      <c r="G82" s="16">
        <f>IF(C82-E82&gt;0,MIN(Inputs!$B$20,C82-E82),0)</f>
        <v/>
      </c>
      <c r="H82" s="17">
        <f>IF(Inputs!$B$62+SUM(E$5:E82)+SUM(G$5:G81)&lt;Inputs!$B$72,1,0)</f>
        <v/>
      </c>
      <c r="I82" s="16">
        <f>MAX(0,C82-E82-G82)</f>
        <v/>
      </c>
    </row>
    <row r="83">
      <c r="A83" t="n">
        <v>79</v>
      </c>
      <c r="B83" s="15">
        <f>CEILING(A83/12,1)</f>
        <v/>
      </c>
      <c r="C83" s="16">
        <f>I82</f>
        <v/>
      </c>
      <c r="D83" s="16">
        <f>IF(AND(C83&gt;0.01,A83&lt;=Inputs!$B$65),Inputs!$B$66,0)</f>
        <v/>
      </c>
      <c r="E83" s="16">
        <f>IF(D83=0,0,MIN(D83-F83,C83))</f>
        <v/>
      </c>
      <c r="F83" s="16">
        <f>IF(C83&gt;0.01,C83*Inputs!$B$64,0)</f>
        <v/>
      </c>
      <c r="G83" s="16">
        <f>IF(C83-E83&gt;0,MIN(Inputs!$B$20,C83-E83),0)</f>
        <v/>
      </c>
      <c r="H83" s="17">
        <f>IF(Inputs!$B$62+SUM(E$5:E83)+SUM(G$5:G82)&lt;Inputs!$B$72,1,0)</f>
        <v/>
      </c>
      <c r="I83" s="16">
        <f>MAX(0,C83-E83-G83)</f>
        <v/>
      </c>
    </row>
    <row r="84">
      <c r="A84" t="n">
        <v>80</v>
      </c>
      <c r="B84" s="15">
        <f>CEILING(A84/12,1)</f>
        <v/>
      </c>
      <c r="C84" s="16">
        <f>I83</f>
        <v/>
      </c>
      <c r="D84" s="16">
        <f>IF(AND(C84&gt;0.01,A84&lt;=Inputs!$B$65),Inputs!$B$66,0)</f>
        <v/>
      </c>
      <c r="E84" s="16">
        <f>IF(D84=0,0,MIN(D84-F84,C84))</f>
        <v/>
      </c>
      <c r="F84" s="16">
        <f>IF(C84&gt;0.01,C84*Inputs!$B$64,0)</f>
        <v/>
      </c>
      <c r="G84" s="16">
        <f>IF(C84-E84&gt;0,MIN(Inputs!$B$20,C84-E84),0)</f>
        <v/>
      </c>
      <c r="H84" s="17">
        <f>IF(Inputs!$B$62+SUM(E$5:E84)+SUM(G$5:G83)&lt;Inputs!$B$72,1,0)</f>
        <v/>
      </c>
      <c r="I84" s="16">
        <f>MAX(0,C84-E84-G84)</f>
        <v/>
      </c>
    </row>
    <row r="85">
      <c r="A85" t="n">
        <v>81</v>
      </c>
      <c r="B85" s="15">
        <f>CEILING(A85/12,1)</f>
        <v/>
      </c>
      <c r="C85" s="16">
        <f>I84</f>
        <v/>
      </c>
      <c r="D85" s="16">
        <f>IF(AND(C85&gt;0.01,A85&lt;=Inputs!$B$65),Inputs!$B$66,0)</f>
        <v/>
      </c>
      <c r="E85" s="16">
        <f>IF(D85=0,0,MIN(D85-F85,C85))</f>
        <v/>
      </c>
      <c r="F85" s="16">
        <f>IF(C85&gt;0.01,C85*Inputs!$B$64,0)</f>
        <v/>
      </c>
      <c r="G85" s="16">
        <f>IF(C85-E85&gt;0,MIN(Inputs!$B$20,C85-E85),0)</f>
        <v/>
      </c>
      <c r="H85" s="17">
        <f>IF(Inputs!$B$62+SUM(E$5:E85)+SUM(G$5:G84)&lt;Inputs!$B$72,1,0)</f>
        <v/>
      </c>
      <c r="I85" s="16">
        <f>MAX(0,C85-E85-G85)</f>
        <v/>
      </c>
    </row>
    <row r="86">
      <c r="A86" t="n">
        <v>82</v>
      </c>
      <c r="B86" s="15">
        <f>CEILING(A86/12,1)</f>
        <v/>
      </c>
      <c r="C86" s="16">
        <f>I85</f>
        <v/>
      </c>
      <c r="D86" s="16">
        <f>IF(AND(C86&gt;0.01,A86&lt;=Inputs!$B$65),Inputs!$B$66,0)</f>
        <v/>
      </c>
      <c r="E86" s="16">
        <f>IF(D86=0,0,MIN(D86-F86,C86))</f>
        <v/>
      </c>
      <c r="F86" s="16">
        <f>IF(C86&gt;0.01,C86*Inputs!$B$64,0)</f>
        <v/>
      </c>
      <c r="G86" s="16">
        <f>IF(C86-E86&gt;0,MIN(Inputs!$B$20,C86-E86),0)</f>
        <v/>
      </c>
      <c r="H86" s="17">
        <f>IF(Inputs!$B$62+SUM(E$5:E86)+SUM(G$5:G85)&lt;Inputs!$B$72,1,0)</f>
        <v/>
      </c>
      <c r="I86" s="16">
        <f>MAX(0,C86-E86-G86)</f>
        <v/>
      </c>
    </row>
    <row r="87">
      <c r="A87" t="n">
        <v>83</v>
      </c>
      <c r="B87" s="15">
        <f>CEILING(A87/12,1)</f>
        <v/>
      </c>
      <c r="C87" s="16">
        <f>I86</f>
        <v/>
      </c>
      <c r="D87" s="16">
        <f>IF(AND(C87&gt;0.01,A87&lt;=Inputs!$B$65),Inputs!$B$66,0)</f>
        <v/>
      </c>
      <c r="E87" s="16">
        <f>IF(D87=0,0,MIN(D87-F87,C87))</f>
        <v/>
      </c>
      <c r="F87" s="16">
        <f>IF(C87&gt;0.01,C87*Inputs!$B$64,0)</f>
        <v/>
      </c>
      <c r="G87" s="16">
        <f>IF(C87-E87&gt;0,MIN(Inputs!$B$20,C87-E87),0)</f>
        <v/>
      </c>
      <c r="H87" s="17">
        <f>IF(Inputs!$B$62+SUM(E$5:E87)+SUM(G$5:G86)&lt;Inputs!$B$72,1,0)</f>
        <v/>
      </c>
      <c r="I87" s="16">
        <f>MAX(0,C87-E87-G87)</f>
        <v/>
      </c>
    </row>
    <row r="88">
      <c r="A88" t="n">
        <v>84</v>
      </c>
      <c r="B88" s="15">
        <f>CEILING(A88/12,1)</f>
        <v/>
      </c>
      <c r="C88" s="16">
        <f>I87</f>
        <v/>
      </c>
      <c r="D88" s="16">
        <f>IF(AND(C88&gt;0.01,A88&lt;=Inputs!$B$65),Inputs!$B$66,0)</f>
        <v/>
      </c>
      <c r="E88" s="16">
        <f>IF(D88=0,0,MIN(D88-F88,C88))</f>
        <v/>
      </c>
      <c r="F88" s="16">
        <f>IF(C88&gt;0.01,C88*Inputs!$B$64,0)</f>
        <v/>
      </c>
      <c r="G88" s="16">
        <f>IF(C88-E88&gt;0,MIN(Inputs!$B$20,C88-E88),0)</f>
        <v/>
      </c>
      <c r="H88" s="17">
        <f>IF(Inputs!$B$62+SUM(E$5:E88)+SUM(G$5:G87)&lt;Inputs!$B$72,1,0)</f>
        <v/>
      </c>
      <c r="I88" s="16">
        <f>MAX(0,C88-E88-G88)</f>
        <v/>
      </c>
    </row>
    <row r="89">
      <c r="A89" t="n">
        <v>85</v>
      </c>
      <c r="B89" s="15">
        <f>CEILING(A89/12,1)</f>
        <v/>
      </c>
      <c r="C89" s="16">
        <f>I88</f>
        <v/>
      </c>
      <c r="D89" s="16">
        <f>IF(AND(C89&gt;0.01,A89&lt;=Inputs!$B$65),Inputs!$B$66,0)</f>
        <v/>
      </c>
      <c r="E89" s="16">
        <f>IF(D89=0,0,MIN(D89-F89,C89))</f>
        <v/>
      </c>
      <c r="F89" s="16">
        <f>IF(C89&gt;0.01,C89*Inputs!$B$64,0)</f>
        <v/>
      </c>
      <c r="G89" s="16">
        <f>IF(C89-E89&gt;0,MIN(Inputs!$B$20,C89-E89),0)</f>
        <v/>
      </c>
      <c r="H89" s="17">
        <f>IF(Inputs!$B$62+SUM(E$5:E89)+SUM(G$5:G88)&lt;Inputs!$B$72,1,0)</f>
        <v/>
      </c>
      <c r="I89" s="16">
        <f>MAX(0,C89-E89-G89)</f>
        <v/>
      </c>
    </row>
    <row r="90">
      <c r="A90" t="n">
        <v>86</v>
      </c>
      <c r="B90" s="15">
        <f>CEILING(A90/12,1)</f>
        <v/>
      </c>
      <c r="C90" s="16">
        <f>I89</f>
        <v/>
      </c>
      <c r="D90" s="16">
        <f>IF(AND(C90&gt;0.01,A90&lt;=Inputs!$B$65),Inputs!$B$66,0)</f>
        <v/>
      </c>
      <c r="E90" s="16">
        <f>IF(D90=0,0,MIN(D90-F90,C90))</f>
        <v/>
      </c>
      <c r="F90" s="16">
        <f>IF(C90&gt;0.01,C90*Inputs!$B$64,0)</f>
        <v/>
      </c>
      <c r="G90" s="16">
        <f>IF(C90-E90&gt;0,MIN(Inputs!$B$20,C90-E90),0)</f>
        <v/>
      </c>
      <c r="H90" s="17">
        <f>IF(Inputs!$B$62+SUM(E$5:E90)+SUM(G$5:G89)&lt;Inputs!$B$72,1,0)</f>
        <v/>
      </c>
      <c r="I90" s="16">
        <f>MAX(0,C90-E90-G90)</f>
        <v/>
      </c>
    </row>
    <row r="91">
      <c r="A91" t="n">
        <v>87</v>
      </c>
      <c r="B91" s="15">
        <f>CEILING(A91/12,1)</f>
        <v/>
      </c>
      <c r="C91" s="16">
        <f>I90</f>
        <v/>
      </c>
      <c r="D91" s="16">
        <f>IF(AND(C91&gt;0.01,A91&lt;=Inputs!$B$65),Inputs!$B$66,0)</f>
        <v/>
      </c>
      <c r="E91" s="16">
        <f>IF(D91=0,0,MIN(D91-F91,C91))</f>
        <v/>
      </c>
      <c r="F91" s="16">
        <f>IF(C91&gt;0.01,C91*Inputs!$B$64,0)</f>
        <v/>
      </c>
      <c r="G91" s="16">
        <f>IF(C91-E91&gt;0,MIN(Inputs!$B$20,C91-E91),0)</f>
        <v/>
      </c>
      <c r="H91" s="17">
        <f>IF(Inputs!$B$62+SUM(E$5:E91)+SUM(G$5:G90)&lt;Inputs!$B$72,1,0)</f>
        <v/>
      </c>
      <c r="I91" s="16">
        <f>MAX(0,C91-E91-G91)</f>
        <v/>
      </c>
    </row>
    <row r="92">
      <c r="A92" t="n">
        <v>88</v>
      </c>
      <c r="B92" s="15">
        <f>CEILING(A92/12,1)</f>
        <v/>
      </c>
      <c r="C92" s="16">
        <f>I91</f>
        <v/>
      </c>
      <c r="D92" s="16">
        <f>IF(AND(C92&gt;0.01,A92&lt;=Inputs!$B$65),Inputs!$B$66,0)</f>
        <v/>
      </c>
      <c r="E92" s="16">
        <f>IF(D92=0,0,MIN(D92-F92,C92))</f>
        <v/>
      </c>
      <c r="F92" s="16">
        <f>IF(C92&gt;0.01,C92*Inputs!$B$64,0)</f>
        <v/>
      </c>
      <c r="G92" s="16">
        <f>IF(C92-E92&gt;0,MIN(Inputs!$B$20,C92-E92),0)</f>
        <v/>
      </c>
      <c r="H92" s="17">
        <f>IF(Inputs!$B$62+SUM(E$5:E92)+SUM(G$5:G91)&lt;Inputs!$B$72,1,0)</f>
        <v/>
      </c>
      <c r="I92" s="16">
        <f>MAX(0,C92-E92-G92)</f>
        <v/>
      </c>
    </row>
    <row r="93">
      <c r="A93" t="n">
        <v>89</v>
      </c>
      <c r="B93" s="15">
        <f>CEILING(A93/12,1)</f>
        <v/>
      </c>
      <c r="C93" s="16">
        <f>I92</f>
        <v/>
      </c>
      <c r="D93" s="16">
        <f>IF(AND(C93&gt;0.01,A93&lt;=Inputs!$B$65),Inputs!$B$66,0)</f>
        <v/>
      </c>
      <c r="E93" s="16">
        <f>IF(D93=0,0,MIN(D93-F93,C93))</f>
        <v/>
      </c>
      <c r="F93" s="16">
        <f>IF(C93&gt;0.01,C93*Inputs!$B$64,0)</f>
        <v/>
      </c>
      <c r="G93" s="16">
        <f>IF(C93-E93&gt;0,MIN(Inputs!$B$20,C93-E93),0)</f>
        <v/>
      </c>
      <c r="H93" s="17">
        <f>IF(Inputs!$B$62+SUM(E$5:E93)+SUM(G$5:G92)&lt;Inputs!$B$72,1,0)</f>
        <v/>
      </c>
      <c r="I93" s="16">
        <f>MAX(0,C93-E93-G93)</f>
        <v/>
      </c>
    </row>
    <row r="94">
      <c r="A94" t="n">
        <v>90</v>
      </c>
      <c r="B94" s="15">
        <f>CEILING(A94/12,1)</f>
        <v/>
      </c>
      <c r="C94" s="16">
        <f>I93</f>
        <v/>
      </c>
      <c r="D94" s="16">
        <f>IF(AND(C94&gt;0.01,A94&lt;=Inputs!$B$65),Inputs!$B$66,0)</f>
        <v/>
      </c>
      <c r="E94" s="16">
        <f>IF(D94=0,0,MIN(D94-F94,C94))</f>
        <v/>
      </c>
      <c r="F94" s="16">
        <f>IF(C94&gt;0.01,C94*Inputs!$B$64,0)</f>
        <v/>
      </c>
      <c r="G94" s="16">
        <f>IF(C94-E94&gt;0,MIN(Inputs!$B$20,C94-E94),0)</f>
        <v/>
      </c>
      <c r="H94" s="17">
        <f>IF(Inputs!$B$62+SUM(E$5:E94)+SUM(G$5:G93)&lt;Inputs!$B$72,1,0)</f>
        <v/>
      </c>
      <c r="I94" s="16">
        <f>MAX(0,C94-E94-G94)</f>
        <v/>
      </c>
    </row>
    <row r="95">
      <c r="A95" t="n">
        <v>91</v>
      </c>
      <c r="B95" s="15">
        <f>CEILING(A95/12,1)</f>
        <v/>
      </c>
      <c r="C95" s="16">
        <f>I94</f>
        <v/>
      </c>
      <c r="D95" s="16">
        <f>IF(AND(C95&gt;0.01,A95&lt;=Inputs!$B$65),Inputs!$B$66,0)</f>
        <v/>
      </c>
      <c r="E95" s="16">
        <f>IF(D95=0,0,MIN(D95-F95,C95))</f>
        <v/>
      </c>
      <c r="F95" s="16">
        <f>IF(C95&gt;0.01,C95*Inputs!$B$64,0)</f>
        <v/>
      </c>
      <c r="G95" s="16">
        <f>IF(C95-E95&gt;0,MIN(Inputs!$B$20,C95-E95),0)</f>
        <v/>
      </c>
      <c r="H95" s="17">
        <f>IF(Inputs!$B$62+SUM(E$5:E95)+SUM(G$5:G94)&lt;Inputs!$B$72,1,0)</f>
        <v/>
      </c>
      <c r="I95" s="16">
        <f>MAX(0,C95-E95-G95)</f>
        <v/>
      </c>
    </row>
    <row r="96">
      <c r="A96" t="n">
        <v>92</v>
      </c>
      <c r="B96" s="15">
        <f>CEILING(A96/12,1)</f>
        <v/>
      </c>
      <c r="C96" s="16">
        <f>I95</f>
        <v/>
      </c>
      <c r="D96" s="16">
        <f>IF(AND(C96&gt;0.01,A96&lt;=Inputs!$B$65),Inputs!$B$66,0)</f>
        <v/>
      </c>
      <c r="E96" s="16">
        <f>IF(D96=0,0,MIN(D96-F96,C96))</f>
        <v/>
      </c>
      <c r="F96" s="16">
        <f>IF(C96&gt;0.01,C96*Inputs!$B$64,0)</f>
        <v/>
      </c>
      <c r="G96" s="16">
        <f>IF(C96-E96&gt;0,MIN(Inputs!$B$20,C96-E96),0)</f>
        <v/>
      </c>
      <c r="H96" s="17">
        <f>IF(Inputs!$B$62+SUM(E$5:E96)+SUM(G$5:G95)&lt;Inputs!$B$72,1,0)</f>
        <v/>
      </c>
      <c r="I96" s="16">
        <f>MAX(0,C96-E96-G96)</f>
        <v/>
      </c>
    </row>
    <row r="97">
      <c r="A97" t="n">
        <v>93</v>
      </c>
      <c r="B97" s="15">
        <f>CEILING(A97/12,1)</f>
        <v/>
      </c>
      <c r="C97" s="16">
        <f>I96</f>
        <v/>
      </c>
      <c r="D97" s="16">
        <f>IF(AND(C97&gt;0.01,A97&lt;=Inputs!$B$65),Inputs!$B$66,0)</f>
        <v/>
      </c>
      <c r="E97" s="16">
        <f>IF(D97=0,0,MIN(D97-F97,C97))</f>
        <v/>
      </c>
      <c r="F97" s="16">
        <f>IF(C97&gt;0.01,C97*Inputs!$B$64,0)</f>
        <v/>
      </c>
      <c r="G97" s="16">
        <f>IF(C97-E97&gt;0,MIN(Inputs!$B$20,C97-E97),0)</f>
        <v/>
      </c>
      <c r="H97" s="17">
        <f>IF(Inputs!$B$62+SUM(E$5:E97)+SUM(G$5:G96)&lt;Inputs!$B$72,1,0)</f>
        <v/>
      </c>
      <c r="I97" s="16">
        <f>MAX(0,C97-E97-G97)</f>
        <v/>
      </c>
    </row>
    <row r="98">
      <c r="A98" t="n">
        <v>94</v>
      </c>
      <c r="B98" s="15">
        <f>CEILING(A98/12,1)</f>
        <v/>
      </c>
      <c r="C98" s="16">
        <f>I97</f>
        <v/>
      </c>
      <c r="D98" s="16">
        <f>IF(AND(C98&gt;0.01,A98&lt;=Inputs!$B$65),Inputs!$B$66,0)</f>
        <v/>
      </c>
      <c r="E98" s="16">
        <f>IF(D98=0,0,MIN(D98-F98,C98))</f>
        <v/>
      </c>
      <c r="F98" s="16">
        <f>IF(C98&gt;0.01,C98*Inputs!$B$64,0)</f>
        <v/>
      </c>
      <c r="G98" s="16">
        <f>IF(C98-E98&gt;0,MIN(Inputs!$B$20,C98-E98),0)</f>
        <v/>
      </c>
      <c r="H98" s="17">
        <f>IF(Inputs!$B$62+SUM(E$5:E98)+SUM(G$5:G97)&lt;Inputs!$B$72,1,0)</f>
        <v/>
      </c>
      <c r="I98" s="16">
        <f>MAX(0,C98-E98-G98)</f>
        <v/>
      </c>
    </row>
    <row r="99">
      <c r="A99" t="n">
        <v>95</v>
      </c>
      <c r="B99" s="15">
        <f>CEILING(A99/12,1)</f>
        <v/>
      </c>
      <c r="C99" s="16">
        <f>I98</f>
        <v/>
      </c>
      <c r="D99" s="16">
        <f>IF(AND(C99&gt;0.01,A99&lt;=Inputs!$B$65),Inputs!$B$66,0)</f>
        <v/>
      </c>
      <c r="E99" s="16">
        <f>IF(D99=0,0,MIN(D99-F99,C99))</f>
        <v/>
      </c>
      <c r="F99" s="16">
        <f>IF(C99&gt;0.01,C99*Inputs!$B$64,0)</f>
        <v/>
      </c>
      <c r="G99" s="16">
        <f>IF(C99-E99&gt;0,MIN(Inputs!$B$20,C99-E99),0)</f>
        <v/>
      </c>
      <c r="H99" s="17">
        <f>IF(Inputs!$B$62+SUM(E$5:E99)+SUM(G$5:G98)&lt;Inputs!$B$72,1,0)</f>
        <v/>
      </c>
      <c r="I99" s="16">
        <f>MAX(0,C99-E99-G99)</f>
        <v/>
      </c>
    </row>
    <row r="100">
      <c r="A100" t="n">
        <v>96</v>
      </c>
      <c r="B100" s="15">
        <f>CEILING(A100/12,1)</f>
        <v/>
      </c>
      <c r="C100" s="16">
        <f>I99</f>
        <v/>
      </c>
      <c r="D100" s="16">
        <f>IF(AND(C100&gt;0.01,A100&lt;=Inputs!$B$65),Inputs!$B$66,0)</f>
        <v/>
      </c>
      <c r="E100" s="16">
        <f>IF(D100=0,0,MIN(D100-F100,C100))</f>
        <v/>
      </c>
      <c r="F100" s="16">
        <f>IF(C100&gt;0.01,C100*Inputs!$B$64,0)</f>
        <v/>
      </c>
      <c r="G100" s="16">
        <f>IF(C100-E100&gt;0,MIN(Inputs!$B$20,C100-E100),0)</f>
        <v/>
      </c>
      <c r="H100" s="17">
        <f>IF(Inputs!$B$62+SUM(E$5:E100)+SUM(G$5:G99)&lt;Inputs!$B$72,1,0)</f>
        <v/>
      </c>
      <c r="I100" s="16">
        <f>MAX(0,C100-E100-G100)</f>
        <v/>
      </c>
    </row>
    <row r="101">
      <c r="A101" t="n">
        <v>97</v>
      </c>
      <c r="B101" s="15">
        <f>CEILING(A101/12,1)</f>
        <v/>
      </c>
      <c r="C101" s="16">
        <f>I100</f>
        <v/>
      </c>
      <c r="D101" s="16">
        <f>IF(AND(C101&gt;0.01,A101&lt;=Inputs!$B$65),Inputs!$B$66,0)</f>
        <v/>
      </c>
      <c r="E101" s="16">
        <f>IF(D101=0,0,MIN(D101-F101,C101))</f>
        <v/>
      </c>
      <c r="F101" s="16">
        <f>IF(C101&gt;0.01,C101*Inputs!$B$64,0)</f>
        <v/>
      </c>
      <c r="G101" s="16">
        <f>IF(C101-E101&gt;0,MIN(Inputs!$B$20,C101-E101),0)</f>
        <v/>
      </c>
      <c r="H101" s="17">
        <f>IF(Inputs!$B$62+SUM(E$5:E101)+SUM(G$5:G100)&lt;Inputs!$B$72,1,0)</f>
        <v/>
      </c>
      <c r="I101" s="16">
        <f>MAX(0,C101-E101-G101)</f>
        <v/>
      </c>
    </row>
    <row r="102">
      <c r="A102" t="n">
        <v>98</v>
      </c>
      <c r="B102" s="15">
        <f>CEILING(A102/12,1)</f>
        <v/>
      </c>
      <c r="C102" s="16">
        <f>I101</f>
        <v/>
      </c>
      <c r="D102" s="16">
        <f>IF(AND(C102&gt;0.01,A102&lt;=Inputs!$B$65),Inputs!$B$66,0)</f>
        <v/>
      </c>
      <c r="E102" s="16">
        <f>IF(D102=0,0,MIN(D102-F102,C102))</f>
        <v/>
      </c>
      <c r="F102" s="16">
        <f>IF(C102&gt;0.01,C102*Inputs!$B$64,0)</f>
        <v/>
      </c>
      <c r="G102" s="16">
        <f>IF(C102-E102&gt;0,MIN(Inputs!$B$20,C102-E102),0)</f>
        <v/>
      </c>
      <c r="H102" s="17">
        <f>IF(Inputs!$B$62+SUM(E$5:E102)+SUM(G$5:G101)&lt;Inputs!$B$72,1,0)</f>
        <v/>
      </c>
      <c r="I102" s="16">
        <f>MAX(0,C102-E102-G102)</f>
        <v/>
      </c>
    </row>
    <row r="103">
      <c r="A103" t="n">
        <v>99</v>
      </c>
      <c r="B103" s="15">
        <f>CEILING(A103/12,1)</f>
        <v/>
      </c>
      <c r="C103" s="16">
        <f>I102</f>
        <v/>
      </c>
      <c r="D103" s="16">
        <f>IF(AND(C103&gt;0.01,A103&lt;=Inputs!$B$65),Inputs!$B$66,0)</f>
        <v/>
      </c>
      <c r="E103" s="16">
        <f>IF(D103=0,0,MIN(D103-F103,C103))</f>
        <v/>
      </c>
      <c r="F103" s="16">
        <f>IF(C103&gt;0.01,C103*Inputs!$B$64,0)</f>
        <v/>
      </c>
      <c r="G103" s="16">
        <f>IF(C103-E103&gt;0,MIN(Inputs!$B$20,C103-E103),0)</f>
        <v/>
      </c>
      <c r="H103" s="17">
        <f>IF(Inputs!$B$62+SUM(E$5:E103)+SUM(G$5:G102)&lt;Inputs!$B$72,1,0)</f>
        <v/>
      </c>
      <c r="I103" s="16">
        <f>MAX(0,C103-E103-G103)</f>
        <v/>
      </c>
    </row>
    <row r="104">
      <c r="A104" t="n">
        <v>100</v>
      </c>
      <c r="B104" s="15">
        <f>CEILING(A104/12,1)</f>
        <v/>
      </c>
      <c r="C104" s="16">
        <f>I103</f>
        <v/>
      </c>
      <c r="D104" s="16">
        <f>IF(AND(C104&gt;0.01,A104&lt;=Inputs!$B$65),Inputs!$B$66,0)</f>
        <v/>
      </c>
      <c r="E104" s="16">
        <f>IF(D104=0,0,MIN(D104-F104,C104))</f>
        <v/>
      </c>
      <c r="F104" s="16">
        <f>IF(C104&gt;0.01,C104*Inputs!$B$64,0)</f>
        <v/>
      </c>
      <c r="G104" s="16">
        <f>IF(C104-E104&gt;0,MIN(Inputs!$B$20,C104-E104),0)</f>
        <v/>
      </c>
      <c r="H104" s="17">
        <f>IF(Inputs!$B$62+SUM(E$5:E104)+SUM(G$5:G103)&lt;Inputs!$B$72,1,0)</f>
        <v/>
      </c>
      <c r="I104" s="16">
        <f>MAX(0,C104-E104-G104)</f>
        <v/>
      </c>
    </row>
    <row r="105">
      <c r="A105" t="n">
        <v>101</v>
      </c>
      <c r="B105" s="15">
        <f>CEILING(A105/12,1)</f>
        <v/>
      </c>
      <c r="C105" s="16">
        <f>I104</f>
        <v/>
      </c>
      <c r="D105" s="16">
        <f>IF(AND(C105&gt;0.01,A105&lt;=Inputs!$B$65),Inputs!$B$66,0)</f>
        <v/>
      </c>
      <c r="E105" s="16">
        <f>IF(D105=0,0,MIN(D105-F105,C105))</f>
        <v/>
      </c>
      <c r="F105" s="16">
        <f>IF(C105&gt;0.01,C105*Inputs!$B$64,0)</f>
        <v/>
      </c>
      <c r="G105" s="16">
        <f>IF(C105-E105&gt;0,MIN(Inputs!$B$20,C105-E105),0)</f>
        <v/>
      </c>
      <c r="H105" s="17">
        <f>IF(Inputs!$B$62+SUM(E$5:E105)+SUM(G$5:G104)&lt;Inputs!$B$72,1,0)</f>
        <v/>
      </c>
      <c r="I105" s="16">
        <f>MAX(0,C105-E105-G105)</f>
        <v/>
      </c>
    </row>
    <row r="106">
      <c r="A106" t="n">
        <v>102</v>
      </c>
      <c r="B106" s="15">
        <f>CEILING(A106/12,1)</f>
        <v/>
      </c>
      <c r="C106" s="16">
        <f>I105</f>
        <v/>
      </c>
      <c r="D106" s="16">
        <f>IF(AND(C106&gt;0.01,A106&lt;=Inputs!$B$65),Inputs!$B$66,0)</f>
        <v/>
      </c>
      <c r="E106" s="16">
        <f>IF(D106=0,0,MIN(D106-F106,C106))</f>
        <v/>
      </c>
      <c r="F106" s="16">
        <f>IF(C106&gt;0.01,C106*Inputs!$B$64,0)</f>
        <v/>
      </c>
      <c r="G106" s="16">
        <f>IF(C106-E106&gt;0,MIN(Inputs!$B$20,C106-E106),0)</f>
        <v/>
      </c>
      <c r="H106" s="17">
        <f>IF(Inputs!$B$62+SUM(E$5:E106)+SUM(G$5:G105)&lt;Inputs!$B$72,1,0)</f>
        <v/>
      </c>
      <c r="I106" s="16">
        <f>MAX(0,C106-E106-G106)</f>
        <v/>
      </c>
    </row>
    <row r="107">
      <c r="A107" t="n">
        <v>103</v>
      </c>
      <c r="B107" s="15">
        <f>CEILING(A107/12,1)</f>
        <v/>
      </c>
      <c r="C107" s="16">
        <f>I106</f>
        <v/>
      </c>
      <c r="D107" s="16">
        <f>IF(AND(C107&gt;0.01,A107&lt;=Inputs!$B$65),Inputs!$B$66,0)</f>
        <v/>
      </c>
      <c r="E107" s="16">
        <f>IF(D107=0,0,MIN(D107-F107,C107))</f>
        <v/>
      </c>
      <c r="F107" s="16">
        <f>IF(C107&gt;0.01,C107*Inputs!$B$64,0)</f>
        <v/>
      </c>
      <c r="G107" s="16">
        <f>IF(C107-E107&gt;0,MIN(Inputs!$B$20,C107-E107),0)</f>
        <v/>
      </c>
      <c r="H107" s="17">
        <f>IF(Inputs!$B$62+SUM(E$5:E107)+SUM(G$5:G106)&lt;Inputs!$B$72,1,0)</f>
        <v/>
      </c>
      <c r="I107" s="16">
        <f>MAX(0,C107-E107-G107)</f>
        <v/>
      </c>
    </row>
    <row r="108">
      <c r="A108" t="n">
        <v>104</v>
      </c>
      <c r="B108" s="15">
        <f>CEILING(A108/12,1)</f>
        <v/>
      </c>
      <c r="C108" s="16">
        <f>I107</f>
        <v/>
      </c>
      <c r="D108" s="16">
        <f>IF(AND(C108&gt;0.01,A108&lt;=Inputs!$B$65),Inputs!$B$66,0)</f>
        <v/>
      </c>
      <c r="E108" s="16">
        <f>IF(D108=0,0,MIN(D108-F108,C108))</f>
        <v/>
      </c>
      <c r="F108" s="16">
        <f>IF(C108&gt;0.01,C108*Inputs!$B$64,0)</f>
        <v/>
      </c>
      <c r="G108" s="16">
        <f>IF(C108-E108&gt;0,MIN(Inputs!$B$20,C108-E108),0)</f>
        <v/>
      </c>
      <c r="H108" s="17">
        <f>IF(Inputs!$B$62+SUM(E$5:E108)+SUM(G$5:G107)&lt;Inputs!$B$72,1,0)</f>
        <v/>
      </c>
      <c r="I108" s="16">
        <f>MAX(0,C108-E108-G108)</f>
        <v/>
      </c>
    </row>
    <row r="109">
      <c r="A109" t="n">
        <v>105</v>
      </c>
      <c r="B109" s="15">
        <f>CEILING(A109/12,1)</f>
        <v/>
      </c>
      <c r="C109" s="16">
        <f>I108</f>
        <v/>
      </c>
      <c r="D109" s="16">
        <f>IF(AND(C109&gt;0.01,A109&lt;=Inputs!$B$65),Inputs!$B$66,0)</f>
        <v/>
      </c>
      <c r="E109" s="16">
        <f>IF(D109=0,0,MIN(D109-F109,C109))</f>
        <v/>
      </c>
      <c r="F109" s="16">
        <f>IF(C109&gt;0.01,C109*Inputs!$B$64,0)</f>
        <v/>
      </c>
      <c r="G109" s="16">
        <f>IF(C109-E109&gt;0,MIN(Inputs!$B$20,C109-E109),0)</f>
        <v/>
      </c>
      <c r="H109" s="17">
        <f>IF(Inputs!$B$62+SUM(E$5:E109)+SUM(G$5:G108)&lt;Inputs!$B$72,1,0)</f>
        <v/>
      </c>
      <c r="I109" s="16">
        <f>MAX(0,C109-E109-G109)</f>
        <v/>
      </c>
    </row>
    <row r="110">
      <c r="A110" t="n">
        <v>106</v>
      </c>
      <c r="B110" s="15">
        <f>CEILING(A110/12,1)</f>
        <v/>
      </c>
      <c r="C110" s="16">
        <f>I109</f>
        <v/>
      </c>
      <c r="D110" s="16">
        <f>IF(AND(C110&gt;0.01,A110&lt;=Inputs!$B$65),Inputs!$B$66,0)</f>
        <v/>
      </c>
      <c r="E110" s="16">
        <f>IF(D110=0,0,MIN(D110-F110,C110))</f>
        <v/>
      </c>
      <c r="F110" s="16">
        <f>IF(C110&gt;0.01,C110*Inputs!$B$64,0)</f>
        <v/>
      </c>
      <c r="G110" s="16">
        <f>IF(C110-E110&gt;0,MIN(Inputs!$B$20,C110-E110),0)</f>
        <v/>
      </c>
      <c r="H110" s="17">
        <f>IF(Inputs!$B$62+SUM(E$5:E110)+SUM(G$5:G109)&lt;Inputs!$B$72,1,0)</f>
        <v/>
      </c>
      <c r="I110" s="16">
        <f>MAX(0,C110-E110-G110)</f>
        <v/>
      </c>
    </row>
    <row r="111">
      <c r="A111" t="n">
        <v>107</v>
      </c>
      <c r="B111" s="15">
        <f>CEILING(A111/12,1)</f>
        <v/>
      </c>
      <c r="C111" s="16">
        <f>I110</f>
        <v/>
      </c>
      <c r="D111" s="16">
        <f>IF(AND(C111&gt;0.01,A111&lt;=Inputs!$B$65),Inputs!$B$66,0)</f>
        <v/>
      </c>
      <c r="E111" s="16">
        <f>IF(D111=0,0,MIN(D111-F111,C111))</f>
        <v/>
      </c>
      <c r="F111" s="16">
        <f>IF(C111&gt;0.01,C111*Inputs!$B$64,0)</f>
        <v/>
      </c>
      <c r="G111" s="16">
        <f>IF(C111-E111&gt;0,MIN(Inputs!$B$20,C111-E111),0)</f>
        <v/>
      </c>
      <c r="H111" s="17">
        <f>IF(Inputs!$B$62+SUM(E$5:E111)+SUM(G$5:G110)&lt;Inputs!$B$72,1,0)</f>
        <v/>
      </c>
      <c r="I111" s="16">
        <f>MAX(0,C111-E111-G111)</f>
        <v/>
      </c>
    </row>
    <row r="112">
      <c r="A112" t="n">
        <v>108</v>
      </c>
      <c r="B112" s="15">
        <f>CEILING(A112/12,1)</f>
        <v/>
      </c>
      <c r="C112" s="16">
        <f>I111</f>
        <v/>
      </c>
      <c r="D112" s="16">
        <f>IF(AND(C112&gt;0.01,A112&lt;=Inputs!$B$65),Inputs!$B$66,0)</f>
        <v/>
      </c>
      <c r="E112" s="16">
        <f>IF(D112=0,0,MIN(D112-F112,C112))</f>
        <v/>
      </c>
      <c r="F112" s="16">
        <f>IF(C112&gt;0.01,C112*Inputs!$B$64,0)</f>
        <v/>
      </c>
      <c r="G112" s="16">
        <f>IF(C112-E112&gt;0,MIN(Inputs!$B$20,C112-E112),0)</f>
        <v/>
      </c>
      <c r="H112" s="17">
        <f>IF(Inputs!$B$62+SUM(E$5:E112)+SUM(G$5:G111)&lt;Inputs!$B$72,1,0)</f>
        <v/>
      </c>
      <c r="I112" s="16">
        <f>MAX(0,C112-E112-G112)</f>
        <v/>
      </c>
    </row>
    <row r="113">
      <c r="A113" t="n">
        <v>109</v>
      </c>
      <c r="B113" s="15">
        <f>CEILING(A113/12,1)</f>
        <v/>
      </c>
      <c r="C113" s="16">
        <f>I112</f>
        <v/>
      </c>
      <c r="D113" s="16">
        <f>IF(AND(C113&gt;0.01,A113&lt;=Inputs!$B$65),Inputs!$B$66,0)</f>
        <v/>
      </c>
      <c r="E113" s="16">
        <f>IF(D113=0,0,MIN(D113-F113,C113))</f>
        <v/>
      </c>
      <c r="F113" s="16">
        <f>IF(C113&gt;0.01,C113*Inputs!$B$64,0)</f>
        <v/>
      </c>
      <c r="G113" s="16">
        <f>IF(C113-E113&gt;0,MIN(Inputs!$B$20,C113-E113),0)</f>
        <v/>
      </c>
      <c r="H113" s="17">
        <f>IF(Inputs!$B$62+SUM(E$5:E113)+SUM(G$5:G112)&lt;Inputs!$B$72,1,0)</f>
        <v/>
      </c>
      <c r="I113" s="16">
        <f>MAX(0,C113-E113-G113)</f>
        <v/>
      </c>
    </row>
    <row r="114">
      <c r="A114" t="n">
        <v>110</v>
      </c>
      <c r="B114" s="15">
        <f>CEILING(A114/12,1)</f>
        <v/>
      </c>
      <c r="C114" s="16">
        <f>I113</f>
        <v/>
      </c>
      <c r="D114" s="16">
        <f>IF(AND(C114&gt;0.01,A114&lt;=Inputs!$B$65),Inputs!$B$66,0)</f>
        <v/>
      </c>
      <c r="E114" s="16">
        <f>IF(D114=0,0,MIN(D114-F114,C114))</f>
        <v/>
      </c>
      <c r="F114" s="16">
        <f>IF(C114&gt;0.01,C114*Inputs!$B$64,0)</f>
        <v/>
      </c>
      <c r="G114" s="16">
        <f>IF(C114-E114&gt;0,MIN(Inputs!$B$20,C114-E114),0)</f>
        <v/>
      </c>
      <c r="H114" s="17">
        <f>IF(Inputs!$B$62+SUM(E$5:E114)+SUM(G$5:G113)&lt;Inputs!$B$72,1,0)</f>
        <v/>
      </c>
      <c r="I114" s="16">
        <f>MAX(0,C114-E114-G114)</f>
        <v/>
      </c>
    </row>
    <row r="115">
      <c r="A115" t="n">
        <v>111</v>
      </c>
      <c r="B115" s="15">
        <f>CEILING(A115/12,1)</f>
        <v/>
      </c>
      <c r="C115" s="16">
        <f>I114</f>
        <v/>
      </c>
      <c r="D115" s="16">
        <f>IF(AND(C115&gt;0.01,A115&lt;=Inputs!$B$65),Inputs!$B$66,0)</f>
        <v/>
      </c>
      <c r="E115" s="16">
        <f>IF(D115=0,0,MIN(D115-F115,C115))</f>
        <v/>
      </c>
      <c r="F115" s="16">
        <f>IF(C115&gt;0.01,C115*Inputs!$B$64,0)</f>
        <v/>
      </c>
      <c r="G115" s="16">
        <f>IF(C115-E115&gt;0,MIN(Inputs!$B$20,C115-E115),0)</f>
        <v/>
      </c>
      <c r="H115" s="17">
        <f>IF(Inputs!$B$62+SUM(E$5:E115)+SUM(G$5:G114)&lt;Inputs!$B$72,1,0)</f>
        <v/>
      </c>
      <c r="I115" s="16">
        <f>MAX(0,C115-E115-G115)</f>
        <v/>
      </c>
    </row>
    <row r="116">
      <c r="A116" t="n">
        <v>112</v>
      </c>
      <c r="B116" s="15">
        <f>CEILING(A116/12,1)</f>
        <v/>
      </c>
      <c r="C116" s="16">
        <f>I115</f>
        <v/>
      </c>
      <c r="D116" s="16">
        <f>IF(AND(C116&gt;0.01,A116&lt;=Inputs!$B$65),Inputs!$B$66,0)</f>
        <v/>
      </c>
      <c r="E116" s="16">
        <f>IF(D116=0,0,MIN(D116-F116,C116))</f>
        <v/>
      </c>
      <c r="F116" s="16">
        <f>IF(C116&gt;0.01,C116*Inputs!$B$64,0)</f>
        <v/>
      </c>
      <c r="G116" s="16">
        <f>IF(C116-E116&gt;0,MIN(Inputs!$B$20,C116-E116),0)</f>
        <v/>
      </c>
      <c r="H116" s="17">
        <f>IF(Inputs!$B$62+SUM(E$5:E116)+SUM(G$5:G115)&lt;Inputs!$B$72,1,0)</f>
        <v/>
      </c>
      <c r="I116" s="16">
        <f>MAX(0,C116-E116-G116)</f>
        <v/>
      </c>
    </row>
    <row r="117">
      <c r="A117" t="n">
        <v>113</v>
      </c>
      <c r="B117" s="15">
        <f>CEILING(A117/12,1)</f>
        <v/>
      </c>
      <c r="C117" s="16">
        <f>I116</f>
        <v/>
      </c>
      <c r="D117" s="16">
        <f>IF(AND(C117&gt;0.01,A117&lt;=Inputs!$B$65),Inputs!$B$66,0)</f>
        <v/>
      </c>
      <c r="E117" s="16">
        <f>IF(D117=0,0,MIN(D117-F117,C117))</f>
        <v/>
      </c>
      <c r="F117" s="16">
        <f>IF(C117&gt;0.01,C117*Inputs!$B$64,0)</f>
        <v/>
      </c>
      <c r="G117" s="16">
        <f>IF(C117-E117&gt;0,MIN(Inputs!$B$20,C117-E117),0)</f>
        <v/>
      </c>
      <c r="H117" s="17">
        <f>IF(Inputs!$B$62+SUM(E$5:E117)+SUM(G$5:G116)&lt;Inputs!$B$72,1,0)</f>
        <v/>
      </c>
      <c r="I117" s="16">
        <f>MAX(0,C117-E117-G117)</f>
        <v/>
      </c>
    </row>
    <row r="118">
      <c r="A118" t="n">
        <v>114</v>
      </c>
      <c r="B118" s="15">
        <f>CEILING(A118/12,1)</f>
        <v/>
      </c>
      <c r="C118" s="16">
        <f>I117</f>
        <v/>
      </c>
      <c r="D118" s="16">
        <f>IF(AND(C118&gt;0.01,A118&lt;=Inputs!$B$65),Inputs!$B$66,0)</f>
        <v/>
      </c>
      <c r="E118" s="16">
        <f>IF(D118=0,0,MIN(D118-F118,C118))</f>
        <v/>
      </c>
      <c r="F118" s="16">
        <f>IF(C118&gt;0.01,C118*Inputs!$B$64,0)</f>
        <v/>
      </c>
      <c r="G118" s="16">
        <f>IF(C118-E118&gt;0,MIN(Inputs!$B$20,C118-E118),0)</f>
        <v/>
      </c>
      <c r="H118" s="17">
        <f>IF(Inputs!$B$62+SUM(E$5:E118)+SUM(G$5:G117)&lt;Inputs!$B$72,1,0)</f>
        <v/>
      </c>
      <c r="I118" s="16">
        <f>MAX(0,C118-E118-G118)</f>
        <v/>
      </c>
    </row>
    <row r="119">
      <c r="A119" t="n">
        <v>115</v>
      </c>
      <c r="B119" s="15">
        <f>CEILING(A119/12,1)</f>
        <v/>
      </c>
      <c r="C119" s="16">
        <f>I118</f>
        <v/>
      </c>
      <c r="D119" s="16">
        <f>IF(AND(C119&gt;0.01,A119&lt;=Inputs!$B$65),Inputs!$B$66,0)</f>
        <v/>
      </c>
      <c r="E119" s="16">
        <f>IF(D119=0,0,MIN(D119-F119,C119))</f>
        <v/>
      </c>
      <c r="F119" s="16">
        <f>IF(C119&gt;0.01,C119*Inputs!$B$64,0)</f>
        <v/>
      </c>
      <c r="G119" s="16">
        <f>IF(C119-E119&gt;0,MIN(Inputs!$B$20,C119-E119),0)</f>
        <v/>
      </c>
      <c r="H119" s="17">
        <f>IF(Inputs!$B$62+SUM(E$5:E119)+SUM(G$5:G118)&lt;Inputs!$B$72,1,0)</f>
        <v/>
      </c>
      <c r="I119" s="16">
        <f>MAX(0,C119-E119-G119)</f>
        <v/>
      </c>
    </row>
    <row r="120">
      <c r="A120" t="n">
        <v>116</v>
      </c>
      <c r="B120" s="15">
        <f>CEILING(A120/12,1)</f>
        <v/>
      </c>
      <c r="C120" s="16">
        <f>I119</f>
        <v/>
      </c>
      <c r="D120" s="16">
        <f>IF(AND(C120&gt;0.01,A120&lt;=Inputs!$B$65),Inputs!$B$66,0)</f>
        <v/>
      </c>
      <c r="E120" s="16">
        <f>IF(D120=0,0,MIN(D120-F120,C120))</f>
        <v/>
      </c>
      <c r="F120" s="16">
        <f>IF(C120&gt;0.01,C120*Inputs!$B$64,0)</f>
        <v/>
      </c>
      <c r="G120" s="16">
        <f>IF(C120-E120&gt;0,MIN(Inputs!$B$20,C120-E120),0)</f>
        <v/>
      </c>
      <c r="H120" s="17">
        <f>IF(Inputs!$B$62+SUM(E$5:E120)+SUM(G$5:G119)&lt;Inputs!$B$72,1,0)</f>
        <v/>
      </c>
      <c r="I120" s="16">
        <f>MAX(0,C120-E120-G120)</f>
        <v/>
      </c>
    </row>
    <row r="121">
      <c r="A121" t="n">
        <v>117</v>
      </c>
      <c r="B121" s="15">
        <f>CEILING(A121/12,1)</f>
        <v/>
      </c>
      <c r="C121" s="16">
        <f>I120</f>
        <v/>
      </c>
      <c r="D121" s="16">
        <f>IF(AND(C121&gt;0.01,A121&lt;=Inputs!$B$65),Inputs!$B$66,0)</f>
        <v/>
      </c>
      <c r="E121" s="16">
        <f>IF(D121=0,0,MIN(D121-F121,C121))</f>
        <v/>
      </c>
      <c r="F121" s="16">
        <f>IF(C121&gt;0.01,C121*Inputs!$B$64,0)</f>
        <v/>
      </c>
      <c r="G121" s="16">
        <f>IF(C121-E121&gt;0,MIN(Inputs!$B$20,C121-E121),0)</f>
        <v/>
      </c>
      <c r="H121" s="17">
        <f>IF(Inputs!$B$62+SUM(E$5:E121)+SUM(G$5:G120)&lt;Inputs!$B$72,1,0)</f>
        <v/>
      </c>
      <c r="I121" s="16">
        <f>MAX(0,C121-E121-G121)</f>
        <v/>
      </c>
    </row>
    <row r="122">
      <c r="A122" t="n">
        <v>118</v>
      </c>
      <c r="B122" s="15">
        <f>CEILING(A122/12,1)</f>
        <v/>
      </c>
      <c r="C122" s="16">
        <f>I121</f>
        <v/>
      </c>
      <c r="D122" s="16">
        <f>IF(AND(C122&gt;0.01,A122&lt;=Inputs!$B$65),Inputs!$B$66,0)</f>
        <v/>
      </c>
      <c r="E122" s="16">
        <f>IF(D122=0,0,MIN(D122-F122,C122))</f>
        <v/>
      </c>
      <c r="F122" s="16">
        <f>IF(C122&gt;0.01,C122*Inputs!$B$64,0)</f>
        <v/>
      </c>
      <c r="G122" s="16">
        <f>IF(C122-E122&gt;0,MIN(Inputs!$B$20,C122-E122),0)</f>
        <v/>
      </c>
      <c r="H122" s="17">
        <f>IF(Inputs!$B$62+SUM(E$5:E122)+SUM(G$5:G121)&lt;Inputs!$B$72,1,0)</f>
        <v/>
      </c>
      <c r="I122" s="16">
        <f>MAX(0,C122-E122-G122)</f>
        <v/>
      </c>
    </row>
    <row r="123">
      <c r="A123" t="n">
        <v>119</v>
      </c>
      <c r="B123" s="15">
        <f>CEILING(A123/12,1)</f>
        <v/>
      </c>
      <c r="C123" s="16">
        <f>I122</f>
        <v/>
      </c>
      <c r="D123" s="16">
        <f>IF(AND(C123&gt;0.01,A123&lt;=Inputs!$B$65),Inputs!$B$66,0)</f>
        <v/>
      </c>
      <c r="E123" s="16">
        <f>IF(D123=0,0,MIN(D123-F123,C123))</f>
        <v/>
      </c>
      <c r="F123" s="16">
        <f>IF(C123&gt;0.01,C123*Inputs!$B$64,0)</f>
        <v/>
      </c>
      <c r="G123" s="16">
        <f>IF(C123-E123&gt;0,MIN(Inputs!$B$20,C123-E123),0)</f>
        <v/>
      </c>
      <c r="H123" s="17">
        <f>IF(Inputs!$B$62+SUM(E$5:E123)+SUM(G$5:G122)&lt;Inputs!$B$72,1,0)</f>
        <v/>
      </c>
      <c r="I123" s="16">
        <f>MAX(0,C123-E123-G123)</f>
        <v/>
      </c>
    </row>
    <row r="124">
      <c r="A124" t="n">
        <v>120</v>
      </c>
      <c r="B124" s="15">
        <f>CEILING(A124/12,1)</f>
        <v/>
      </c>
      <c r="C124" s="16">
        <f>I123</f>
        <v/>
      </c>
      <c r="D124" s="16">
        <f>IF(AND(C124&gt;0.01,A124&lt;=Inputs!$B$65),Inputs!$B$66,0)</f>
        <v/>
      </c>
      <c r="E124" s="16">
        <f>IF(D124=0,0,MIN(D124-F124,C124))</f>
        <v/>
      </c>
      <c r="F124" s="16">
        <f>IF(C124&gt;0.01,C124*Inputs!$B$64,0)</f>
        <v/>
      </c>
      <c r="G124" s="16">
        <f>IF(C124-E124&gt;0,MIN(Inputs!$B$20,C124-E124),0)</f>
        <v/>
      </c>
      <c r="H124" s="17">
        <f>IF(Inputs!$B$62+SUM(E$5:E124)+SUM(G$5:G123)&lt;Inputs!$B$72,1,0)</f>
        <v/>
      </c>
      <c r="I124" s="16">
        <f>MAX(0,C124-E124-G124)</f>
        <v/>
      </c>
    </row>
    <row r="125">
      <c r="A125" t="n">
        <v>121</v>
      </c>
      <c r="B125" s="15">
        <f>CEILING(A125/12,1)</f>
        <v/>
      </c>
      <c r="C125" s="16">
        <f>I124</f>
        <v/>
      </c>
      <c r="D125" s="16">
        <f>IF(AND(C125&gt;0.01,A125&lt;=Inputs!$B$65),Inputs!$B$66,0)</f>
        <v/>
      </c>
      <c r="E125" s="16">
        <f>IF(D125=0,0,MIN(D125-F125,C125))</f>
        <v/>
      </c>
      <c r="F125" s="16">
        <f>IF(C125&gt;0.01,C125*Inputs!$B$64,0)</f>
        <v/>
      </c>
      <c r="G125" s="16">
        <f>IF(C125-E125&gt;0,MIN(Inputs!$B$20,C125-E125),0)</f>
        <v/>
      </c>
      <c r="H125" s="17">
        <f>IF(Inputs!$B$62+SUM(E$5:E125)+SUM(G$5:G124)&lt;Inputs!$B$72,1,0)</f>
        <v/>
      </c>
      <c r="I125" s="16">
        <f>MAX(0,C125-E125-G125)</f>
        <v/>
      </c>
    </row>
    <row r="126">
      <c r="A126" t="n">
        <v>122</v>
      </c>
      <c r="B126" s="15">
        <f>CEILING(A126/12,1)</f>
        <v/>
      </c>
      <c r="C126" s="16">
        <f>I125</f>
        <v/>
      </c>
      <c r="D126" s="16">
        <f>IF(AND(C126&gt;0.01,A126&lt;=Inputs!$B$65),Inputs!$B$66,0)</f>
        <v/>
      </c>
      <c r="E126" s="16">
        <f>IF(D126=0,0,MIN(D126-F126,C126))</f>
        <v/>
      </c>
      <c r="F126" s="16">
        <f>IF(C126&gt;0.01,C126*Inputs!$B$64,0)</f>
        <v/>
      </c>
      <c r="G126" s="16">
        <f>IF(C126-E126&gt;0,MIN(Inputs!$B$20,C126-E126),0)</f>
        <v/>
      </c>
      <c r="H126" s="17">
        <f>IF(Inputs!$B$62+SUM(E$5:E126)+SUM(G$5:G125)&lt;Inputs!$B$72,1,0)</f>
        <v/>
      </c>
      <c r="I126" s="16">
        <f>MAX(0,C126-E126-G126)</f>
        <v/>
      </c>
    </row>
    <row r="127">
      <c r="A127" t="n">
        <v>123</v>
      </c>
      <c r="B127" s="15">
        <f>CEILING(A127/12,1)</f>
        <v/>
      </c>
      <c r="C127" s="16">
        <f>I126</f>
        <v/>
      </c>
      <c r="D127" s="16">
        <f>IF(AND(C127&gt;0.01,A127&lt;=Inputs!$B$65),Inputs!$B$66,0)</f>
        <v/>
      </c>
      <c r="E127" s="16">
        <f>IF(D127=0,0,MIN(D127-F127,C127))</f>
        <v/>
      </c>
      <c r="F127" s="16">
        <f>IF(C127&gt;0.01,C127*Inputs!$B$64,0)</f>
        <v/>
      </c>
      <c r="G127" s="16">
        <f>IF(C127-E127&gt;0,MIN(Inputs!$B$20,C127-E127),0)</f>
        <v/>
      </c>
      <c r="H127" s="17">
        <f>IF(Inputs!$B$62+SUM(E$5:E127)+SUM(G$5:G126)&lt;Inputs!$B$72,1,0)</f>
        <v/>
      </c>
      <c r="I127" s="16">
        <f>MAX(0,C127-E127-G127)</f>
        <v/>
      </c>
    </row>
    <row r="128">
      <c r="A128" t="n">
        <v>124</v>
      </c>
      <c r="B128" s="15">
        <f>CEILING(A128/12,1)</f>
        <v/>
      </c>
      <c r="C128" s="16">
        <f>I127</f>
        <v/>
      </c>
      <c r="D128" s="16">
        <f>IF(AND(C128&gt;0.01,A128&lt;=Inputs!$B$65),Inputs!$B$66,0)</f>
        <v/>
      </c>
      <c r="E128" s="16">
        <f>IF(D128=0,0,MIN(D128-F128,C128))</f>
        <v/>
      </c>
      <c r="F128" s="16">
        <f>IF(C128&gt;0.01,C128*Inputs!$B$64,0)</f>
        <v/>
      </c>
      <c r="G128" s="16">
        <f>IF(C128-E128&gt;0,MIN(Inputs!$B$20,C128-E128),0)</f>
        <v/>
      </c>
      <c r="H128" s="17">
        <f>IF(Inputs!$B$62+SUM(E$5:E128)+SUM(G$5:G127)&lt;Inputs!$B$72,1,0)</f>
        <v/>
      </c>
      <c r="I128" s="16">
        <f>MAX(0,C128-E128-G128)</f>
        <v/>
      </c>
    </row>
    <row r="129">
      <c r="A129" t="n">
        <v>125</v>
      </c>
      <c r="B129" s="15">
        <f>CEILING(A129/12,1)</f>
        <v/>
      </c>
      <c r="C129" s="16">
        <f>I128</f>
        <v/>
      </c>
      <c r="D129" s="16">
        <f>IF(AND(C129&gt;0.01,A129&lt;=Inputs!$B$65),Inputs!$B$66,0)</f>
        <v/>
      </c>
      <c r="E129" s="16">
        <f>IF(D129=0,0,MIN(D129-F129,C129))</f>
        <v/>
      </c>
      <c r="F129" s="16">
        <f>IF(C129&gt;0.01,C129*Inputs!$B$64,0)</f>
        <v/>
      </c>
      <c r="G129" s="16">
        <f>IF(C129-E129&gt;0,MIN(Inputs!$B$20,C129-E129),0)</f>
        <v/>
      </c>
      <c r="H129" s="17">
        <f>IF(Inputs!$B$62+SUM(E$5:E129)+SUM(G$5:G128)&lt;Inputs!$B$72,1,0)</f>
        <v/>
      </c>
      <c r="I129" s="16">
        <f>MAX(0,C129-E129-G129)</f>
        <v/>
      </c>
    </row>
    <row r="130">
      <c r="A130" t="n">
        <v>126</v>
      </c>
      <c r="B130" s="15">
        <f>CEILING(A130/12,1)</f>
        <v/>
      </c>
      <c r="C130" s="16">
        <f>I129</f>
        <v/>
      </c>
      <c r="D130" s="16">
        <f>IF(AND(C130&gt;0.01,A130&lt;=Inputs!$B$65),Inputs!$B$66,0)</f>
        <v/>
      </c>
      <c r="E130" s="16">
        <f>IF(D130=0,0,MIN(D130-F130,C130))</f>
        <v/>
      </c>
      <c r="F130" s="16">
        <f>IF(C130&gt;0.01,C130*Inputs!$B$64,0)</f>
        <v/>
      </c>
      <c r="G130" s="16">
        <f>IF(C130-E130&gt;0,MIN(Inputs!$B$20,C130-E130),0)</f>
        <v/>
      </c>
      <c r="H130" s="17">
        <f>IF(Inputs!$B$62+SUM(E$5:E130)+SUM(G$5:G129)&lt;Inputs!$B$72,1,0)</f>
        <v/>
      </c>
      <c r="I130" s="16">
        <f>MAX(0,C130-E130-G130)</f>
        <v/>
      </c>
    </row>
    <row r="131">
      <c r="A131" t="n">
        <v>127</v>
      </c>
      <c r="B131" s="15">
        <f>CEILING(A131/12,1)</f>
        <v/>
      </c>
      <c r="C131" s="16">
        <f>I130</f>
        <v/>
      </c>
      <c r="D131" s="16">
        <f>IF(AND(C131&gt;0.01,A131&lt;=Inputs!$B$65),Inputs!$B$66,0)</f>
        <v/>
      </c>
      <c r="E131" s="16">
        <f>IF(D131=0,0,MIN(D131-F131,C131))</f>
        <v/>
      </c>
      <c r="F131" s="16">
        <f>IF(C131&gt;0.01,C131*Inputs!$B$64,0)</f>
        <v/>
      </c>
      <c r="G131" s="16">
        <f>IF(C131-E131&gt;0,MIN(Inputs!$B$20,C131-E131),0)</f>
        <v/>
      </c>
      <c r="H131" s="17">
        <f>IF(Inputs!$B$62+SUM(E$5:E131)+SUM(G$5:G130)&lt;Inputs!$B$72,1,0)</f>
        <v/>
      </c>
      <c r="I131" s="16">
        <f>MAX(0,C131-E131-G131)</f>
        <v/>
      </c>
    </row>
    <row r="132">
      <c r="A132" t="n">
        <v>128</v>
      </c>
      <c r="B132" s="15">
        <f>CEILING(A132/12,1)</f>
        <v/>
      </c>
      <c r="C132" s="16">
        <f>I131</f>
        <v/>
      </c>
      <c r="D132" s="16">
        <f>IF(AND(C132&gt;0.01,A132&lt;=Inputs!$B$65),Inputs!$B$66,0)</f>
        <v/>
      </c>
      <c r="E132" s="16">
        <f>IF(D132=0,0,MIN(D132-F132,C132))</f>
        <v/>
      </c>
      <c r="F132" s="16">
        <f>IF(C132&gt;0.01,C132*Inputs!$B$64,0)</f>
        <v/>
      </c>
      <c r="G132" s="16">
        <f>IF(C132-E132&gt;0,MIN(Inputs!$B$20,C132-E132),0)</f>
        <v/>
      </c>
      <c r="H132" s="17">
        <f>IF(Inputs!$B$62+SUM(E$5:E132)+SUM(G$5:G131)&lt;Inputs!$B$72,1,0)</f>
        <v/>
      </c>
      <c r="I132" s="16">
        <f>MAX(0,C132-E132-G132)</f>
        <v/>
      </c>
    </row>
    <row r="133">
      <c r="A133" t="n">
        <v>129</v>
      </c>
      <c r="B133" s="15">
        <f>CEILING(A133/12,1)</f>
        <v/>
      </c>
      <c r="C133" s="16">
        <f>I132</f>
        <v/>
      </c>
      <c r="D133" s="16">
        <f>IF(AND(C133&gt;0.01,A133&lt;=Inputs!$B$65),Inputs!$B$66,0)</f>
        <v/>
      </c>
      <c r="E133" s="16">
        <f>IF(D133=0,0,MIN(D133-F133,C133))</f>
        <v/>
      </c>
      <c r="F133" s="16">
        <f>IF(C133&gt;0.01,C133*Inputs!$B$64,0)</f>
        <v/>
      </c>
      <c r="G133" s="16">
        <f>IF(C133-E133&gt;0,MIN(Inputs!$B$20,C133-E133),0)</f>
        <v/>
      </c>
      <c r="H133" s="17">
        <f>IF(Inputs!$B$62+SUM(E$5:E133)+SUM(G$5:G132)&lt;Inputs!$B$72,1,0)</f>
        <v/>
      </c>
      <c r="I133" s="16">
        <f>MAX(0,C133-E133-G133)</f>
        <v/>
      </c>
    </row>
    <row r="134">
      <c r="A134" t="n">
        <v>130</v>
      </c>
      <c r="B134" s="15">
        <f>CEILING(A134/12,1)</f>
        <v/>
      </c>
      <c r="C134" s="16">
        <f>I133</f>
        <v/>
      </c>
      <c r="D134" s="16">
        <f>IF(AND(C134&gt;0.01,A134&lt;=Inputs!$B$65),Inputs!$B$66,0)</f>
        <v/>
      </c>
      <c r="E134" s="16">
        <f>IF(D134=0,0,MIN(D134-F134,C134))</f>
        <v/>
      </c>
      <c r="F134" s="16">
        <f>IF(C134&gt;0.01,C134*Inputs!$B$64,0)</f>
        <v/>
      </c>
      <c r="G134" s="16">
        <f>IF(C134-E134&gt;0,MIN(Inputs!$B$20,C134-E134),0)</f>
        <v/>
      </c>
      <c r="H134" s="17">
        <f>IF(Inputs!$B$62+SUM(E$5:E134)+SUM(G$5:G133)&lt;Inputs!$B$72,1,0)</f>
        <v/>
      </c>
      <c r="I134" s="16">
        <f>MAX(0,C134-E134-G134)</f>
        <v/>
      </c>
    </row>
    <row r="135">
      <c r="A135" t="n">
        <v>131</v>
      </c>
      <c r="B135" s="15">
        <f>CEILING(A135/12,1)</f>
        <v/>
      </c>
      <c r="C135" s="16">
        <f>I134</f>
        <v/>
      </c>
      <c r="D135" s="16">
        <f>IF(AND(C135&gt;0.01,A135&lt;=Inputs!$B$65),Inputs!$B$66,0)</f>
        <v/>
      </c>
      <c r="E135" s="16">
        <f>IF(D135=0,0,MIN(D135-F135,C135))</f>
        <v/>
      </c>
      <c r="F135" s="16">
        <f>IF(C135&gt;0.01,C135*Inputs!$B$64,0)</f>
        <v/>
      </c>
      <c r="G135" s="16">
        <f>IF(C135-E135&gt;0,MIN(Inputs!$B$20,C135-E135),0)</f>
        <v/>
      </c>
      <c r="H135" s="17">
        <f>IF(Inputs!$B$62+SUM(E$5:E135)+SUM(G$5:G134)&lt;Inputs!$B$72,1,0)</f>
        <v/>
      </c>
      <c r="I135" s="16">
        <f>MAX(0,C135-E135-G135)</f>
        <v/>
      </c>
    </row>
    <row r="136">
      <c r="A136" t="n">
        <v>132</v>
      </c>
      <c r="B136" s="15">
        <f>CEILING(A136/12,1)</f>
        <v/>
      </c>
      <c r="C136" s="16">
        <f>I135</f>
        <v/>
      </c>
      <c r="D136" s="16">
        <f>IF(AND(C136&gt;0.01,A136&lt;=Inputs!$B$65),Inputs!$B$66,0)</f>
        <v/>
      </c>
      <c r="E136" s="16">
        <f>IF(D136=0,0,MIN(D136-F136,C136))</f>
        <v/>
      </c>
      <c r="F136" s="16">
        <f>IF(C136&gt;0.01,C136*Inputs!$B$64,0)</f>
        <v/>
      </c>
      <c r="G136" s="16">
        <f>IF(C136-E136&gt;0,MIN(Inputs!$B$20,C136-E136),0)</f>
        <v/>
      </c>
      <c r="H136" s="17">
        <f>IF(Inputs!$B$62+SUM(E$5:E136)+SUM(G$5:G135)&lt;Inputs!$B$72,1,0)</f>
        <v/>
      </c>
      <c r="I136" s="16">
        <f>MAX(0,C136-E136-G136)</f>
        <v/>
      </c>
    </row>
    <row r="137">
      <c r="A137" t="n">
        <v>133</v>
      </c>
      <c r="B137" s="15">
        <f>CEILING(A137/12,1)</f>
        <v/>
      </c>
      <c r="C137" s="16">
        <f>I136</f>
        <v/>
      </c>
      <c r="D137" s="16">
        <f>IF(AND(C137&gt;0.01,A137&lt;=Inputs!$B$65),Inputs!$B$66,0)</f>
        <v/>
      </c>
      <c r="E137" s="16">
        <f>IF(D137=0,0,MIN(D137-F137,C137))</f>
        <v/>
      </c>
      <c r="F137" s="16">
        <f>IF(C137&gt;0.01,C137*Inputs!$B$64,0)</f>
        <v/>
      </c>
      <c r="G137" s="16">
        <f>IF(C137-E137&gt;0,MIN(Inputs!$B$20,C137-E137),0)</f>
        <v/>
      </c>
      <c r="H137" s="17">
        <f>IF(Inputs!$B$62+SUM(E$5:E137)+SUM(G$5:G136)&lt;Inputs!$B$72,1,0)</f>
        <v/>
      </c>
      <c r="I137" s="16">
        <f>MAX(0,C137-E137-G137)</f>
        <v/>
      </c>
    </row>
    <row r="138">
      <c r="A138" t="n">
        <v>134</v>
      </c>
      <c r="B138" s="15">
        <f>CEILING(A138/12,1)</f>
        <v/>
      </c>
      <c r="C138" s="16">
        <f>I137</f>
        <v/>
      </c>
      <c r="D138" s="16">
        <f>IF(AND(C138&gt;0.01,A138&lt;=Inputs!$B$65),Inputs!$B$66,0)</f>
        <v/>
      </c>
      <c r="E138" s="16">
        <f>IF(D138=0,0,MIN(D138-F138,C138))</f>
        <v/>
      </c>
      <c r="F138" s="16">
        <f>IF(C138&gt;0.01,C138*Inputs!$B$64,0)</f>
        <v/>
      </c>
      <c r="G138" s="16">
        <f>IF(C138-E138&gt;0,MIN(Inputs!$B$20,C138-E138),0)</f>
        <v/>
      </c>
      <c r="H138" s="17">
        <f>IF(Inputs!$B$62+SUM(E$5:E138)+SUM(G$5:G137)&lt;Inputs!$B$72,1,0)</f>
        <v/>
      </c>
      <c r="I138" s="16">
        <f>MAX(0,C138-E138-G138)</f>
        <v/>
      </c>
    </row>
    <row r="139">
      <c r="A139" t="n">
        <v>135</v>
      </c>
      <c r="B139" s="15">
        <f>CEILING(A139/12,1)</f>
        <v/>
      </c>
      <c r="C139" s="16">
        <f>I138</f>
        <v/>
      </c>
      <c r="D139" s="16">
        <f>IF(AND(C139&gt;0.01,A139&lt;=Inputs!$B$65),Inputs!$B$66,0)</f>
        <v/>
      </c>
      <c r="E139" s="16">
        <f>IF(D139=0,0,MIN(D139-F139,C139))</f>
        <v/>
      </c>
      <c r="F139" s="16">
        <f>IF(C139&gt;0.01,C139*Inputs!$B$64,0)</f>
        <v/>
      </c>
      <c r="G139" s="16">
        <f>IF(C139-E139&gt;0,MIN(Inputs!$B$20,C139-E139),0)</f>
        <v/>
      </c>
      <c r="H139" s="17">
        <f>IF(Inputs!$B$62+SUM(E$5:E139)+SUM(G$5:G138)&lt;Inputs!$B$72,1,0)</f>
        <v/>
      </c>
      <c r="I139" s="16">
        <f>MAX(0,C139-E139-G139)</f>
        <v/>
      </c>
    </row>
    <row r="140">
      <c r="A140" t="n">
        <v>136</v>
      </c>
      <c r="B140" s="15">
        <f>CEILING(A140/12,1)</f>
        <v/>
      </c>
      <c r="C140" s="16">
        <f>I139</f>
        <v/>
      </c>
      <c r="D140" s="16">
        <f>IF(AND(C140&gt;0.01,A140&lt;=Inputs!$B$65),Inputs!$B$66,0)</f>
        <v/>
      </c>
      <c r="E140" s="16">
        <f>IF(D140=0,0,MIN(D140-F140,C140))</f>
        <v/>
      </c>
      <c r="F140" s="16">
        <f>IF(C140&gt;0.01,C140*Inputs!$B$64,0)</f>
        <v/>
      </c>
      <c r="G140" s="16">
        <f>IF(C140-E140&gt;0,MIN(Inputs!$B$20,C140-E140),0)</f>
        <v/>
      </c>
      <c r="H140" s="17">
        <f>IF(Inputs!$B$62+SUM(E$5:E140)+SUM(G$5:G139)&lt;Inputs!$B$72,1,0)</f>
        <v/>
      </c>
      <c r="I140" s="16">
        <f>MAX(0,C140-E140-G140)</f>
        <v/>
      </c>
    </row>
    <row r="141">
      <c r="A141" t="n">
        <v>137</v>
      </c>
      <c r="B141" s="15">
        <f>CEILING(A141/12,1)</f>
        <v/>
      </c>
      <c r="C141" s="16">
        <f>I140</f>
        <v/>
      </c>
      <c r="D141" s="16">
        <f>IF(AND(C141&gt;0.01,A141&lt;=Inputs!$B$65),Inputs!$B$66,0)</f>
        <v/>
      </c>
      <c r="E141" s="16">
        <f>IF(D141=0,0,MIN(D141-F141,C141))</f>
        <v/>
      </c>
      <c r="F141" s="16">
        <f>IF(C141&gt;0.01,C141*Inputs!$B$64,0)</f>
        <v/>
      </c>
      <c r="G141" s="16">
        <f>IF(C141-E141&gt;0,MIN(Inputs!$B$20,C141-E141),0)</f>
        <v/>
      </c>
      <c r="H141" s="17">
        <f>IF(Inputs!$B$62+SUM(E$5:E141)+SUM(G$5:G140)&lt;Inputs!$B$72,1,0)</f>
        <v/>
      </c>
      <c r="I141" s="16">
        <f>MAX(0,C141-E141-G141)</f>
        <v/>
      </c>
    </row>
    <row r="142">
      <c r="A142" t="n">
        <v>138</v>
      </c>
      <c r="B142" s="15">
        <f>CEILING(A142/12,1)</f>
        <v/>
      </c>
      <c r="C142" s="16">
        <f>I141</f>
        <v/>
      </c>
      <c r="D142" s="16">
        <f>IF(AND(C142&gt;0.01,A142&lt;=Inputs!$B$65),Inputs!$B$66,0)</f>
        <v/>
      </c>
      <c r="E142" s="16">
        <f>IF(D142=0,0,MIN(D142-F142,C142))</f>
        <v/>
      </c>
      <c r="F142" s="16">
        <f>IF(C142&gt;0.01,C142*Inputs!$B$64,0)</f>
        <v/>
      </c>
      <c r="G142" s="16">
        <f>IF(C142-E142&gt;0,MIN(Inputs!$B$20,C142-E142),0)</f>
        <v/>
      </c>
      <c r="H142" s="17">
        <f>IF(Inputs!$B$62+SUM(E$5:E142)+SUM(G$5:G141)&lt;Inputs!$B$72,1,0)</f>
        <v/>
      </c>
      <c r="I142" s="16">
        <f>MAX(0,C142-E142-G142)</f>
        <v/>
      </c>
    </row>
    <row r="143">
      <c r="A143" t="n">
        <v>139</v>
      </c>
      <c r="B143" s="15">
        <f>CEILING(A143/12,1)</f>
        <v/>
      </c>
      <c r="C143" s="16">
        <f>I142</f>
        <v/>
      </c>
      <c r="D143" s="16">
        <f>IF(AND(C143&gt;0.01,A143&lt;=Inputs!$B$65),Inputs!$B$66,0)</f>
        <v/>
      </c>
      <c r="E143" s="16">
        <f>IF(D143=0,0,MIN(D143-F143,C143))</f>
        <v/>
      </c>
      <c r="F143" s="16">
        <f>IF(C143&gt;0.01,C143*Inputs!$B$64,0)</f>
        <v/>
      </c>
      <c r="G143" s="16">
        <f>IF(C143-E143&gt;0,MIN(Inputs!$B$20,C143-E143),0)</f>
        <v/>
      </c>
      <c r="H143" s="17">
        <f>IF(Inputs!$B$62+SUM(E$5:E143)+SUM(G$5:G142)&lt;Inputs!$B$72,1,0)</f>
        <v/>
      </c>
      <c r="I143" s="16">
        <f>MAX(0,C143-E143-G143)</f>
        <v/>
      </c>
    </row>
    <row r="144">
      <c r="A144" t="n">
        <v>140</v>
      </c>
      <c r="B144" s="15">
        <f>CEILING(A144/12,1)</f>
        <v/>
      </c>
      <c r="C144" s="16">
        <f>I143</f>
        <v/>
      </c>
      <c r="D144" s="16">
        <f>IF(AND(C144&gt;0.01,A144&lt;=Inputs!$B$65),Inputs!$B$66,0)</f>
        <v/>
      </c>
      <c r="E144" s="16">
        <f>IF(D144=0,0,MIN(D144-F144,C144))</f>
        <v/>
      </c>
      <c r="F144" s="16">
        <f>IF(C144&gt;0.01,C144*Inputs!$B$64,0)</f>
        <v/>
      </c>
      <c r="G144" s="16">
        <f>IF(C144-E144&gt;0,MIN(Inputs!$B$20,C144-E144),0)</f>
        <v/>
      </c>
      <c r="H144" s="17">
        <f>IF(Inputs!$B$62+SUM(E$5:E144)+SUM(G$5:G143)&lt;Inputs!$B$72,1,0)</f>
        <v/>
      </c>
      <c r="I144" s="16">
        <f>MAX(0,C144-E144-G144)</f>
        <v/>
      </c>
    </row>
    <row r="145">
      <c r="A145" t="n">
        <v>141</v>
      </c>
      <c r="B145" s="15">
        <f>CEILING(A145/12,1)</f>
        <v/>
      </c>
      <c r="C145" s="16">
        <f>I144</f>
        <v/>
      </c>
      <c r="D145" s="16">
        <f>IF(AND(C145&gt;0.01,A145&lt;=Inputs!$B$65),Inputs!$B$66,0)</f>
        <v/>
      </c>
      <c r="E145" s="16">
        <f>IF(D145=0,0,MIN(D145-F145,C145))</f>
        <v/>
      </c>
      <c r="F145" s="16">
        <f>IF(C145&gt;0.01,C145*Inputs!$B$64,0)</f>
        <v/>
      </c>
      <c r="G145" s="16">
        <f>IF(C145-E145&gt;0,MIN(Inputs!$B$20,C145-E145),0)</f>
        <v/>
      </c>
      <c r="H145" s="17">
        <f>IF(Inputs!$B$62+SUM(E$5:E145)+SUM(G$5:G144)&lt;Inputs!$B$72,1,0)</f>
        <v/>
      </c>
      <c r="I145" s="16">
        <f>MAX(0,C145-E145-G145)</f>
        <v/>
      </c>
    </row>
    <row r="146">
      <c r="A146" t="n">
        <v>142</v>
      </c>
      <c r="B146" s="15">
        <f>CEILING(A146/12,1)</f>
        <v/>
      </c>
      <c r="C146" s="16">
        <f>I145</f>
        <v/>
      </c>
      <c r="D146" s="16">
        <f>IF(AND(C146&gt;0.01,A146&lt;=Inputs!$B$65),Inputs!$B$66,0)</f>
        <v/>
      </c>
      <c r="E146" s="16">
        <f>IF(D146=0,0,MIN(D146-F146,C146))</f>
        <v/>
      </c>
      <c r="F146" s="16">
        <f>IF(C146&gt;0.01,C146*Inputs!$B$64,0)</f>
        <v/>
      </c>
      <c r="G146" s="16">
        <f>IF(C146-E146&gt;0,MIN(Inputs!$B$20,C146-E146),0)</f>
        <v/>
      </c>
      <c r="H146" s="17">
        <f>IF(Inputs!$B$62+SUM(E$5:E146)+SUM(G$5:G145)&lt;Inputs!$B$72,1,0)</f>
        <v/>
      </c>
      <c r="I146" s="16">
        <f>MAX(0,C146-E146-G146)</f>
        <v/>
      </c>
    </row>
    <row r="147">
      <c r="A147" t="n">
        <v>143</v>
      </c>
      <c r="B147" s="15">
        <f>CEILING(A147/12,1)</f>
        <v/>
      </c>
      <c r="C147" s="16">
        <f>I146</f>
        <v/>
      </c>
      <c r="D147" s="16">
        <f>IF(AND(C147&gt;0.01,A147&lt;=Inputs!$B$65),Inputs!$B$66,0)</f>
        <v/>
      </c>
      <c r="E147" s="16">
        <f>IF(D147=0,0,MIN(D147-F147,C147))</f>
        <v/>
      </c>
      <c r="F147" s="16">
        <f>IF(C147&gt;0.01,C147*Inputs!$B$64,0)</f>
        <v/>
      </c>
      <c r="G147" s="16">
        <f>IF(C147-E147&gt;0,MIN(Inputs!$B$20,C147-E147),0)</f>
        <v/>
      </c>
      <c r="H147" s="17">
        <f>IF(Inputs!$B$62+SUM(E$5:E147)+SUM(G$5:G146)&lt;Inputs!$B$72,1,0)</f>
        <v/>
      </c>
      <c r="I147" s="16">
        <f>MAX(0,C147-E147-G147)</f>
        <v/>
      </c>
    </row>
    <row r="148">
      <c r="A148" t="n">
        <v>144</v>
      </c>
      <c r="B148" s="15">
        <f>CEILING(A148/12,1)</f>
        <v/>
      </c>
      <c r="C148" s="16">
        <f>I147</f>
        <v/>
      </c>
      <c r="D148" s="16">
        <f>IF(AND(C148&gt;0.01,A148&lt;=Inputs!$B$65),Inputs!$B$66,0)</f>
        <v/>
      </c>
      <c r="E148" s="16">
        <f>IF(D148=0,0,MIN(D148-F148,C148))</f>
        <v/>
      </c>
      <c r="F148" s="16">
        <f>IF(C148&gt;0.01,C148*Inputs!$B$64,0)</f>
        <v/>
      </c>
      <c r="G148" s="16">
        <f>IF(C148-E148&gt;0,MIN(Inputs!$B$20,C148-E148),0)</f>
        <v/>
      </c>
      <c r="H148" s="17">
        <f>IF(Inputs!$B$62+SUM(E$5:E148)+SUM(G$5:G147)&lt;Inputs!$B$72,1,0)</f>
        <v/>
      </c>
      <c r="I148" s="16">
        <f>MAX(0,C148-E148-G148)</f>
        <v/>
      </c>
    </row>
    <row r="149">
      <c r="A149" t="n">
        <v>145</v>
      </c>
      <c r="B149" s="15">
        <f>CEILING(A149/12,1)</f>
        <v/>
      </c>
      <c r="C149" s="16">
        <f>I148</f>
        <v/>
      </c>
      <c r="D149" s="16">
        <f>IF(AND(C149&gt;0.01,A149&lt;=Inputs!$B$65),Inputs!$B$66,0)</f>
        <v/>
      </c>
      <c r="E149" s="16">
        <f>IF(D149=0,0,MIN(D149-F149,C149))</f>
        <v/>
      </c>
      <c r="F149" s="16">
        <f>IF(C149&gt;0.01,C149*Inputs!$B$64,0)</f>
        <v/>
      </c>
      <c r="G149" s="16">
        <f>IF(C149-E149&gt;0,MIN(Inputs!$B$20,C149-E149),0)</f>
        <v/>
      </c>
      <c r="H149" s="17">
        <f>IF(Inputs!$B$62+SUM(E$5:E149)+SUM(G$5:G148)&lt;Inputs!$B$72,1,0)</f>
        <v/>
      </c>
      <c r="I149" s="16">
        <f>MAX(0,C149-E149-G149)</f>
        <v/>
      </c>
    </row>
    <row r="150">
      <c r="A150" t="n">
        <v>146</v>
      </c>
      <c r="B150" s="15">
        <f>CEILING(A150/12,1)</f>
        <v/>
      </c>
      <c r="C150" s="16">
        <f>I149</f>
        <v/>
      </c>
      <c r="D150" s="16">
        <f>IF(AND(C150&gt;0.01,A150&lt;=Inputs!$B$65),Inputs!$B$66,0)</f>
        <v/>
      </c>
      <c r="E150" s="16">
        <f>IF(D150=0,0,MIN(D150-F150,C150))</f>
        <v/>
      </c>
      <c r="F150" s="16">
        <f>IF(C150&gt;0.01,C150*Inputs!$B$64,0)</f>
        <v/>
      </c>
      <c r="G150" s="16">
        <f>IF(C150-E150&gt;0,MIN(Inputs!$B$20,C150-E150),0)</f>
        <v/>
      </c>
      <c r="H150" s="17">
        <f>IF(Inputs!$B$62+SUM(E$5:E150)+SUM(G$5:G149)&lt;Inputs!$B$72,1,0)</f>
        <v/>
      </c>
      <c r="I150" s="16">
        <f>MAX(0,C150-E150-G150)</f>
        <v/>
      </c>
    </row>
    <row r="151">
      <c r="A151" t="n">
        <v>147</v>
      </c>
      <c r="B151" s="15">
        <f>CEILING(A151/12,1)</f>
        <v/>
      </c>
      <c r="C151" s="16">
        <f>I150</f>
        <v/>
      </c>
      <c r="D151" s="16">
        <f>IF(AND(C151&gt;0.01,A151&lt;=Inputs!$B$65),Inputs!$B$66,0)</f>
        <v/>
      </c>
      <c r="E151" s="16">
        <f>IF(D151=0,0,MIN(D151-F151,C151))</f>
        <v/>
      </c>
      <c r="F151" s="16">
        <f>IF(C151&gt;0.01,C151*Inputs!$B$64,0)</f>
        <v/>
      </c>
      <c r="G151" s="16">
        <f>IF(C151-E151&gt;0,MIN(Inputs!$B$20,C151-E151),0)</f>
        <v/>
      </c>
      <c r="H151" s="17">
        <f>IF(Inputs!$B$62+SUM(E$5:E151)+SUM(G$5:G150)&lt;Inputs!$B$72,1,0)</f>
        <v/>
      </c>
      <c r="I151" s="16">
        <f>MAX(0,C151-E151-G151)</f>
        <v/>
      </c>
    </row>
    <row r="152">
      <c r="A152" t="n">
        <v>148</v>
      </c>
      <c r="B152" s="15">
        <f>CEILING(A152/12,1)</f>
        <v/>
      </c>
      <c r="C152" s="16">
        <f>I151</f>
        <v/>
      </c>
      <c r="D152" s="16">
        <f>IF(AND(C152&gt;0.01,A152&lt;=Inputs!$B$65),Inputs!$B$66,0)</f>
        <v/>
      </c>
      <c r="E152" s="16">
        <f>IF(D152=0,0,MIN(D152-F152,C152))</f>
        <v/>
      </c>
      <c r="F152" s="16">
        <f>IF(C152&gt;0.01,C152*Inputs!$B$64,0)</f>
        <v/>
      </c>
      <c r="G152" s="16">
        <f>IF(C152-E152&gt;0,MIN(Inputs!$B$20,C152-E152),0)</f>
        <v/>
      </c>
      <c r="H152" s="17">
        <f>IF(Inputs!$B$62+SUM(E$5:E152)+SUM(G$5:G151)&lt;Inputs!$B$72,1,0)</f>
        <v/>
      </c>
      <c r="I152" s="16">
        <f>MAX(0,C152-E152-G152)</f>
        <v/>
      </c>
    </row>
    <row r="153">
      <c r="A153" t="n">
        <v>149</v>
      </c>
      <c r="B153" s="15">
        <f>CEILING(A153/12,1)</f>
        <v/>
      </c>
      <c r="C153" s="16">
        <f>I152</f>
        <v/>
      </c>
      <c r="D153" s="16">
        <f>IF(AND(C153&gt;0.01,A153&lt;=Inputs!$B$65),Inputs!$B$66,0)</f>
        <v/>
      </c>
      <c r="E153" s="16">
        <f>IF(D153=0,0,MIN(D153-F153,C153))</f>
        <v/>
      </c>
      <c r="F153" s="16">
        <f>IF(C153&gt;0.01,C153*Inputs!$B$64,0)</f>
        <v/>
      </c>
      <c r="G153" s="16">
        <f>IF(C153-E153&gt;0,MIN(Inputs!$B$20,C153-E153),0)</f>
        <v/>
      </c>
      <c r="H153" s="17">
        <f>IF(Inputs!$B$62+SUM(E$5:E153)+SUM(G$5:G152)&lt;Inputs!$B$72,1,0)</f>
        <v/>
      </c>
      <c r="I153" s="16">
        <f>MAX(0,C153-E153-G153)</f>
        <v/>
      </c>
    </row>
    <row r="154">
      <c r="A154" t="n">
        <v>150</v>
      </c>
      <c r="B154" s="15">
        <f>CEILING(A154/12,1)</f>
        <v/>
      </c>
      <c r="C154" s="16">
        <f>I153</f>
        <v/>
      </c>
      <c r="D154" s="16">
        <f>IF(AND(C154&gt;0.01,A154&lt;=Inputs!$B$65),Inputs!$B$66,0)</f>
        <v/>
      </c>
      <c r="E154" s="16">
        <f>IF(D154=0,0,MIN(D154-F154,C154))</f>
        <v/>
      </c>
      <c r="F154" s="16">
        <f>IF(C154&gt;0.01,C154*Inputs!$B$64,0)</f>
        <v/>
      </c>
      <c r="G154" s="16">
        <f>IF(C154-E154&gt;0,MIN(Inputs!$B$20,C154-E154),0)</f>
        <v/>
      </c>
      <c r="H154" s="17">
        <f>IF(Inputs!$B$62+SUM(E$5:E154)+SUM(G$5:G153)&lt;Inputs!$B$72,1,0)</f>
        <v/>
      </c>
      <c r="I154" s="16">
        <f>MAX(0,C154-E154-G154)</f>
        <v/>
      </c>
    </row>
    <row r="155">
      <c r="A155" t="n">
        <v>151</v>
      </c>
      <c r="B155" s="15">
        <f>CEILING(A155/12,1)</f>
        <v/>
      </c>
      <c r="C155" s="16">
        <f>I154</f>
        <v/>
      </c>
      <c r="D155" s="16">
        <f>IF(AND(C155&gt;0.01,A155&lt;=Inputs!$B$65),Inputs!$B$66,0)</f>
        <v/>
      </c>
      <c r="E155" s="16">
        <f>IF(D155=0,0,MIN(D155-F155,C155))</f>
        <v/>
      </c>
      <c r="F155" s="16">
        <f>IF(C155&gt;0.01,C155*Inputs!$B$64,0)</f>
        <v/>
      </c>
      <c r="G155" s="16">
        <f>IF(C155-E155&gt;0,MIN(Inputs!$B$20,C155-E155),0)</f>
        <v/>
      </c>
      <c r="H155" s="17">
        <f>IF(Inputs!$B$62+SUM(E$5:E155)+SUM(G$5:G154)&lt;Inputs!$B$72,1,0)</f>
        <v/>
      </c>
      <c r="I155" s="16">
        <f>MAX(0,C155-E155-G155)</f>
        <v/>
      </c>
    </row>
    <row r="156">
      <c r="A156" t="n">
        <v>152</v>
      </c>
      <c r="B156" s="15">
        <f>CEILING(A156/12,1)</f>
        <v/>
      </c>
      <c r="C156" s="16">
        <f>I155</f>
        <v/>
      </c>
      <c r="D156" s="16">
        <f>IF(AND(C156&gt;0.01,A156&lt;=Inputs!$B$65),Inputs!$B$66,0)</f>
        <v/>
      </c>
      <c r="E156" s="16">
        <f>IF(D156=0,0,MIN(D156-F156,C156))</f>
        <v/>
      </c>
      <c r="F156" s="16">
        <f>IF(C156&gt;0.01,C156*Inputs!$B$64,0)</f>
        <v/>
      </c>
      <c r="G156" s="16">
        <f>IF(C156-E156&gt;0,MIN(Inputs!$B$20,C156-E156),0)</f>
        <v/>
      </c>
      <c r="H156" s="17">
        <f>IF(Inputs!$B$62+SUM(E$5:E156)+SUM(G$5:G155)&lt;Inputs!$B$72,1,0)</f>
        <v/>
      </c>
      <c r="I156" s="16">
        <f>MAX(0,C156-E156-G156)</f>
        <v/>
      </c>
    </row>
    <row r="157">
      <c r="A157" t="n">
        <v>153</v>
      </c>
      <c r="B157" s="15">
        <f>CEILING(A157/12,1)</f>
        <v/>
      </c>
      <c r="C157" s="16">
        <f>I156</f>
        <v/>
      </c>
      <c r="D157" s="16">
        <f>IF(AND(C157&gt;0.01,A157&lt;=Inputs!$B$65),Inputs!$B$66,0)</f>
        <v/>
      </c>
      <c r="E157" s="16">
        <f>IF(D157=0,0,MIN(D157-F157,C157))</f>
        <v/>
      </c>
      <c r="F157" s="16">
        <f>IF(C157&gt;0.01,C157*Inputs!$B$64,0)</f>
        <v/>
      </c>
      <c r="G157" s="16">
        <f>IF(C157-E157&gt;0,MIN(Inputs!$B$20,C157-E157),0)</f>
        <v/>
      </c>
      <c r="H157" s="17">
        <f>IF(Inputs!$B$62+SUM(E$5:E157)+SUM(G$5:G156)&lt;Inputs!$B$72,1,0)</f>
        <v/>
      </c>
      <c r="I157" s="16">
        <f>MAX(0,C157-E157-G157)</f>
        <v/>
      </c>
    </row>
    <row r="158">
      <c r="A158" t="n">
        <v>154</v>
      </c>
      <c r="B158" s="15">
        <f>CEILING(A158/12,1)</f>
        <v/>
      </c>
      <c r="C158" s="16">
        <f>I157</f>
        <v/>
      </c>
      <c r="D158" s="16">
        <f>IF(AND(C158&gt;0.01,A158&lt;=Inputs!$B$65),Inputs!$B$66,0)</f>
        <v/>
      </c>
      <c r="E158" s="16">
        <f>IF(D158=0,0,MIN(D158-F158,C158))</f>
        <v/>
      </c>
      <c r="F158" s="16">
        <f>IF(C158&gt;0.01,C158*Inputs!$B$64,0)</f>
        <v/>
      </c>
      <c r="G158" s="16">
        <f>IF(C158-E158&gt;0,MIN(Inputs!$B$20,C158-E158),0)</f>
        <v/>
      </c>
      <c r="H158" s="17">
        <f>IF(Inputs!$B$62+SUM(E$5:E158)+SUM(G$5:G157)&lt;Inputs!$B$72,1,0)</f>
        <v/>
      </c>
      <c r="I158" s="16">
        <f>MAX(0,C158-E158-G158)</f>
        <v/>
      </c>
    </row>
    <row r="159">
      <c r="A159" t="n">
        <v>155</v>
      </c>
      <c r="B159" s="15">
        <f>CEILING(A159/12,1)</f>
        <v/>
      </c>
      <c r="C159" s="16">
        <f>I158</f>
        <v/>
      </c>
      <c r="D159" s="16">
        <f>IF(AND(C159&gt;0.01,A159&lt;=Inputs!$B$65),Inputs!$B$66,0)</f>
        <v/>
      </c>
      <c r="E159" s="16">
        <f>IF(D159=0,0,MIN(D159-F159,C159))</f>
        <v/>
      </c>
      <c r="F159" s="16">
        <f>IF(C159&gt;0.01,C159*Inputs!$B$64,0)</f>
        <v/>
      </c>
      <c r="G159" s="16">
        <f>IF(C159-E159&gt;0,MIN(Inputs!$B$20,C159-E159),0)</f>
        <v/>
      </c>
      <c r="H159" s="17">
        <f>IF(Inputs!$B$62+SUM(E$5:E159)+SUM(G$5:G158)&lt;Inputs!$B$72,1,0)</f>
        <v/>
      </c>
      <c r="I159" s="16">
        <f>MAX(0,C159-E159-G159)</f>
        <v/>
      </c>
    </row>
    <row r="160">
      <c r="A160" t="n">
        <v>156</v>
      </c>
      <c r="B160" s="15">
        <f>CEILING(A160/12,1)</f>
        <v/>
      </c>
      <c r="C160" s="16">
        <f>I159</f>
        <v/>
      </c>
      <c r="D160" s="16">
        <f>IF(AND(C160&gt;0.01,A160&lt;=Inputs!$B$65),Inputs!$B$66,0)</f>
        <v/>
      </c>
      <c r="E160" s="16">
        <f>IF(D160=0,0,MIN(D160-F160,C160))</f>
        <v/>
      </c>
      <c r="F160" s="16">
        <f>IF(C160&gt;0.01,C160*Inputs!$B$64,0)</f>
        <v/>
      </c>
      <c r="G160" s="16">
        <f>IF(C160-E160&gt;0,MIN(Inputs!$B$20,C160-E160),0)</f>
        <v/>
      </c>
      <c r="H160" s="17">
        <f>IF(Inputs!$B$62+SUM(E$5:E160)+SUM(G$5:G159)&lt;Inputs!$B$72,1,0)</f>
        <v/>
      </c>
      <c r="I160" s="16">
        <f>MAX(0,C160-E160-G160)</f>
        <v/>
      </c>
    </row>
    <row r="161">
      <c r="A161" t="n">
        <v>157</v>
      </c>
      <c r="B161" s="15">
        <f>CEILING(A161/12,1)</f>
        <v/>
      </c>
      <c r="C161" s="16">
        <f>I160</f>
        <v/>
      </c>
      <c r="D161" s="16">
        <f>IF(AND(C161&gt;0.01,A161&lt;=Inputs!$B$65),Inputs!$B$66,0)</f>
        <v/>
      </c>
      <c r="E161" s="16">
        <f>IF(D161=0,0,MIN(D161-F161,C161))</f>
        <v/>
      </c>
      <c r="F161" s="16">
        <f>IF(C161&gt;0.01,C161*Inputs!$B$64,0)</f>
        <v/>
      </c>
      <c r="G161" s="16">
        <f>IF(C161-E161&gt;0,MIN(Inputs!$B$20,C161-E161),0)</f>
        <v/>
      </c>
      <c r="H161" s="17">
        <f>IF(Inputs!$B$62+SUM(E$5:E161)+SUM(G$5:G160)&lt;Inputs!$B$72,1,0)</f>
        <v/>
      </c>
      <c r="I161" s="16">
        <f>MAX(0,C161-E161-G161)</f>
        <v/>
      </c>
    </row>
    <row r="162">
      <c r="A162" t="n">
        <v>158</v>
      </c>
      <c r="B162" s="15">
        <f>CEILING(A162/12,1)</f>
        <v/>
      </c>
      <c r="C162" s="16">
        <f>I161</f>
        <v/>
      </c>
      <c r="D162" s="16">
        <f>IF(AND(C162&gt;0.01,A162&lt;=Inputs!$B$65),Inputs!$B$66,0)</f>
        <v/>
      </c>
      <c r="E162" s="16">
        <f>IF(D162=0,0,MIN(D162-F162,C162))</f>
        <v/>
      </c>
      <c r="F162" s="16">
        <f>IF(C162&gt;0.01,C162*Inputs!$B$64,0)</f>
        <v/>
      </c>
      <c r="G162" s="16">
        <f>IF(C162-E162&gt;0,MIN(Inputs!$B$20,C162-E162),0)</f>
        <v/>
      </c>
      <c r="H162" s="17">
        <f>IF(Inputs!$B$62+SUM(E$5:E162)+SUM(G$5:G161)&lt;Inputs!$B$72,1,0)</f>
        <v/>
      </c>
      <c r="I162" s="16">
        <f>MAX(0,C162-E162-G162)</f>
        <v/>
      </c>
    </row>
    <row r="163">
      <c r="A163" t="n">
        <v>159</v>
      </c>
      <c r="B163" s="15">
        <f>CEILING(A163/12,1)</f>
        <v/>
      </c>
      <c r="C163" s="16">
        <f>I162</f>
        <v/>
      </c>
      <c r="D163" s="16">
        <f>IF(AND(C163&gt;0.01,A163&lt;=Inputs!$B$65),Inputs!$B$66,0)</f>
        <v/>
      </c>
      <c r="E163" s="16">
        <f>IF(D163=0,0,MIN(D163-F163,C163))</f>
        <v/>
      </c>
      <c r="F163" s="16">
        <f>IF(C163&gt;0.01,C163*Inputs!$B$64,0)</f>
        <v/>
      </c>
      <c r="G163" s="16">
        <f>IF(C163-E163&gt;0,MIN(Inputs!$B$20,C163-E163),0)</f>
        <v/>
      </c>
      <c r="H163" s="17">
        <f>IF(Inputs!$B$62+SUM(E$5:E163)+SUM(G$5:G162)&lt;Inputs!$B$72,1,0)</f>
        <v/>
      </c>
      <c r="I163" s="16">
        <f>MAX(0,C163-E163-G163)</f>
        <v/>
      </c>
    </row>
    <row r="164">
      <c r="A164" t="n">
        <v>160</v>
      </c>
      <c r="B164" s="15">
        <f>CEILING(A164/12,1)</f>
        <v/>
      </c>
      <c r="C164" s="16">
        <f>I163</f>
        <v/>
      </c>
      <c r="D164" s="16">
        <f>IF(AND(C164&gt;0.01,A164&lt;=Inputs!$B$65),Inputs!$B$66,0)</f>
        <v/>
      </c>
      <c r="E164" s="16">
        <f>IF(D164=0,0,MIN(D164-F164,C164))</f>
        <v/>
      </c>
      <c r="F164" s="16">
        <f>IF(C164&gt;0.01,C164*Inputs!$B$64,0)</f>
        <v/>
      </c>
      <c r="G164" s="16">
        <f>IF(C164-E164&gt;0,MIN(Inputs!$B$20,C164-E164),0)</f>
        <v/>
      </c>
      <c r="H164" s="17">
        <f>IF(Inputs!$B$62+SUM(E$5:E164)+SUM(G$5:G163)&lt;Inputs!$B$72,1,0)</f>
        <v/>
      </c>
      <c r="I164" s="16">
        <f>MAX(0,C164-E164-G164)</f>
        <v/>
      </c>
    </row>
    <row r="165">
      <c r="A165" t="n">
        <v>161</v>
      </c>
      <c r="B165" s="15">
        <f>CEILING(A165/12,1)</f>
        <v/>
      </c>
      <c r="C165" s="16">
        <f>I164</f>
        <v/>
      </c>
      <c r="D165" s="16">
        <f>IF(AND(C165&gt;0.01,A165&lt;=Inputs!$B$65),Inputs!$B$66,0)</f>
        <v/>
      </c>
      <c r="E165" s="16">
        <f>IF(D165=0,0,MIN(D165-F165,C165))</f>
        <v/>
      </c>
      <c r="F165" s="16">
        <f>IF(C165&gt;0.01,C165*Inputs!$B$64,0)</f>
        <v/>
      </c>
      <c r="G165" s="16">
        <f>IF(C165-E165&gt;0,MIN(Inputs!$B$20,C165-E165),0)</f>
        <v/>
      </c>
      <c r="H165" s="17">
        <f>IF(Inputs!$B$62+SUM(E$5:E165)+SUM(G$5:G164)&lt;Inputs!$B$72,1,0)</f>
        <v/>
      </c>
      <c r="I165" s="16">
        <f>MAX(0,C165-E165-G165)</f>
        <v/>
      </c>
    </row>
    <row r="166">
      <c r="A166" t="n">
        <v>162</v>
      </c>
      <c r="B166" s="15">
        <f>CEILING(A166/12,1)</f>
        <v/>
      </c>
      <c r="C166" s="16">
        <f>I165</f>
        <v/>
      </c>
      <c r="D166" s="16">
        <f>IF(AND(C166&gt;0.01,A166&lt;=Inputs!$B$65),Inputs!$B$66,0)</f>
        <v/>
      </c>
      <c r="E166" s="16">
        <f>IF(D166=0,0,MIN(D166-F166,C166))</f>
        <v/>
      </c>
      <c r="F166" s="16">
        <f>IF(C166&gt;0.01,C166*Inputs!$B$64,0)</f>
        <v/>
      </c>
      <c r="G166" s="16">
        <f>IF(C166-E166&gt;0,MIN(Inputs!$B$20,C166-E166),0)</f>
        <v/>
      </c>
      <c r="H166" s="17">
        <f>IF(Inputs!$B$62+SUM(E$5:E166)+SUM(G$5:G165)&lt;Inputs!$B$72,1,0)</f>
        <v/>
      </c>
      <c r="I166" s="16">
        <f>MAX(0,C166-E166-G166)</f>
        <v/>
      </c>
    </row>
    <row r="167">
      <c r="A167" t="n">
        <v>163</v>
      </c>
      <c r="B167" s="15">
        <f>CEILING(A167/12,1)</f>
        <v/>
      </c>
      <c r="C167" s="16">
        <f>I166</f>
        <v/>
      </c>
      <c r="D167" s="16">
        <f>IF(AND(C167&gt;0.01,A167&lt;=Inputs!$B$65),Inputs!$B$66,0)</f>
        <v/>
      </c>
      <c r="E167" s="16">
        <f>IF(D167=0,0,MIN(D167-F167,C167))</f>
        <v/>
      </c>
      <c r="F167" s="16">
        <f>IF(C167&gt;0.01,C167*Inputs!$B$64,0)</f>
        <v/>
      </c>
      <c r="G167" s="16">
        <f>IF(C167-E167&gt;0,MIN(Inputs!$B$20,C167-E167),0)</f>
        <v/>
      </c>
      <c r="H167" s="17">
        <f>IF(Inputs!$B$62+SUM(E$5:E167)+SUM(G$5:G166)&lt;Inputs!$B$72,1,0)</f>
        <v/>
      </c>
      <c r="I167" s="16">
        <f>MAX(0,C167-E167-G167)</f>
        <v/>
      </c>
    </row>
    <row r="168">
      <c r="A168" t="n">
        <v>164</v>
      </c>
      <c r="B168" s="15">
        <f>CEILING(A168/12,1)</f>
        <v/>
      </c>
      <c r="C168" s="16">
        <f>I167</f>
        <v/>
      </c>
      <c r="D168" s="16">
        <f>IF(AND(C168&gt;0.01,A168&lt;=Inputs!$B$65),Inputs!$B$66,0)</f>
        <v/>
      </c>
      <c r="E168" s="16">
        <f>IF(D168=0,0,MIN(D168-F168,C168))</f>
        <v/>
      </c>
      <c r="F168" s="16">
        <f>IF(C168&gt;0.01,C168*Inputs!$B$64,0)</f>
        <v/>
      </c>
      <c r="G168" s="16">
        <f>IF(C168-E168&gt;0,MIN(Inputs!$B$20,C168-E168),0)</f>
        <v/>
      </c>
      <c r="H168" s="17">
        <f>IF(Inputs!$B$62+SUM(E$5:E168)+SUM(G$5:G167)&lt;Inputs!$B$72,1,0)</f>
        <v/>
      </c>
      <c r="I168" s="16">
        <f>MAX(0,C168-E168-G168)</f>
        <v/>
      </c>
    </row>
    <row r="169">
      <c r="A169" t="n">
        <v>165</v>
      </c>
      <c r="B169" s="15">
        <f>CEILING(A169/12,1)</f>
        <v/>
      </c>
      <c r="C169" s="16">
        <f>I168</f>
        <v/>
      </c>
      <c r="D169" s="16">
        <f>IF(AND(C169&gt;0.01,A169&lt;=Inputs!$B$65),Inputs!$B$66,0)</f>
        <v/>
      </c>
      <c r="E169" s="16">
        <f>IF(D169=0,0,MIN(D169-F169,C169))</f>
        <v/>
      </c>
      <c r="F169" s="16">
        <f>IF(C169&gt;0.01,C169*Inputs!$B$64,0)</f>
        <v/>
      </c>
      <c r="G169" s="16">
        <f>IF(C169-E169&gt;0,MIN(Inputs!$B$20,C169-E169),0)</f>
        <v/>
      </c>
      <c r="H169" s="17">
        <f>IF(Inputs!$B$62+SUM(E$5:E169)+SUM(G$5:G168)&lt;Inputs!$B$72,1,0)</f>
        <v/>
      </c>
      <c r="I169" s="16">
        <f>MAX(0,C169-E169-G169)</f>
        <v/>
      </c>
    </row>
    <row r="170">
      <c r="A170" t="n">
        <v>166</v>
      </c>
      <c r="B170" s="15">
        <f>CEILING(A170/12,1)</f>
        <v/>
      </c>
      <c r="C170" s="16">
        <f>I169</f>
        <v/>
      </c>
      <c r="D170" s="16">
        <f>IF(AND(C170&gt;0.01,A170&lt;=Inputs!$B$65),Inputs!$B$66,0)</f>
        <v/>
      </c>
      <c r="E170" s="16">
        <f>IF(D170=0,0,MIN(D170-F170,C170))</f>
        <v/>
      </c>
      <c r="F170" s="16">
        <f>IF(C170&gt;0.01,C170*Inputs!$B$64,0)</f>
        <v/>
      </c>
      <c r="G170" s="16">
        <f>IF(C170-E170&gt;0,MIN(Inputs!$B$20,C170-E170),0)</f>
        <v/>
      </c>
      <c r="H170" s="17">
        <f>IF(Inputs!$B$62+SUM(E$5:E170)+SUM(G$5:G169)&lt;Inputs!$B$72,1,0)</f>
        <v/>
      </c>
      <c r="I170" s="16">
        <f>MAX(0,C170-E170-G170)</f>
        <v/>
      </c>
    </row>
    <row r="171">
      <c r="A171" t="n">
        <v>167</v>
      </c>
      <c r="B171" s="15">
        <f>CEILING(A171/12,1)</f>
        <v/>
      </c>
      <c r="C171" s="16">
        <f>I170</f>
        <v/>
      </c>
      <c r="D171" s="16">
        <f>IF(AND(C171&gt;0.01,A171&lt;=Inputs!$B$65),Inputs!$B$66,0)</f>
        <v/>
      </c>
      <c r="E171" s="16">
        <f>IF(D171=0,0,MIN(D171-F171,C171))</f>
        <v/>
      </c>
      <c r="F171" s="16">
        <f>IF(C171&gt;0.01,C171*Inputs!$B$64,0)</f>
        <v/>
      </c>
      <c r="G171" s="16">
        <f>IF(C171-E171&gt;0,MIN(Inputs!$B$20,C171-E171),0)</f>
        <v/>
      </c>
      <c r="H171" s="17">
        <f>IF(Inputs!$B$62+SUM(E$5:E171)+SUM(G$5:G170)&lt;Inputs!$B$72,1,0)</f>
        <v/>
      </c>
      <c r="I171" s="16">
        <f>MAX(0,C171-E171-G171)</f>
        <v/>
      </c>
    </row>
    <row r="172">
      <c r="A172" t="n">
        <v>168</v>
      </c>
      <c r="B172" s="15">
        <f>CEILING(A172/12,1)</f>
        <v/>
      </c>
      <c r="C172" s="16">
        <f>I171</f>
        <v/>
      </c>
      <c r="D172" s="16">
        <f>IF(AND(C172&gt;0.01,A172&lt;=Inputs!$B$65),Inputs!$B$66,0)</f>
        <v/>
      </c>
      <c r="E172" s="16">
        <f>IF(D172=0,0,MIN(D172-F172,C172))</f>
        <v/>
      </c>
      <c r="F172" s="16">
        <f>IF(C172&gt;0.01,C172*Inputs!$B$64,0)</f>
        <v/>
      </c>
      <c r="G172" s="16">
        <f>IF(C172-E172&gt;0,MIN(Inputs!$B$20,C172-E172),0)</f>
        <v/>
      </c>
      <c r="H172" s="17">
        <f>IF(Inputs!$B$62+SUM(E$5:E172)+SUM(G$5:G171)&lt;Inputs!$B$72,1,0)</f>
        <v/>
      </c>
      <c r="I172" s="16">
        <f>MAX(0,C172-E172-G172)</f>
        <v/>
      </c>
    </row>
    <row r="173">
      <c r="A173" t="n">
        <v>169</v>
      </c>
      <c r="B173" s="15">
        <f>CEILING(A173/12,1)</f>
        <v/>
      </c>
      <c r="C173" s="16">
        <f>I172</f>
        <v/>
      </c>
      <c r="D173" s="16">
        <f>IF(AND(C173&gt;0.01,A173&lt;=Inputs!$B$65),Inputs!$B$66,0)</f>
        <v/>
      </c>
      <c r="E173" s="16">
        <f>IF(D173=0,0,MIN(D173-F173,C173))</f>
        <v/>
      </c>
      <c r="F173" s="16">
        <f>IF(C173&gt;0.01,C173*Inputs!$B$64,0)</f>
        <v/>
      </c>
      <c r="G173" s="16">
        <f>IF(C173-E173&gt;0,MIN(Inputs!$B$20,C173-E173),0)</f>
        <v/>
      </c>
      <c r="H173" s="17">
        <f>IF(Inputs!$B$62+SUM(E$5:E173)+SUM(G$5:G172)&lt;Inputs!$B$72,1,0)</f>
        <v/>
      </c>
      <c r="I173" s="16">
        <f>MAX(0,C173-E173-G173)</f>
        <v/>
      </c>
    </row>
    <row r="174">
      <c r="A174" t="n">
        <v>170</v>
      </c>
      <c r="B174" s="15">
        <f>CEILING(A174/12,1)</f>
        <v/>
      </c>
      <c r="C174" s="16">
        <f>I173</f>
        <v/>
      </c>
      <c r="D174" s="16">
        <f>IF(AND(C174&gt;0.01,A174&lt;=Inputs!$B$65),Inputs!$B$66,0)</f>
        <v/>
      </c>
      <c r="E174" s="16">
        <f>IF(D174=0,0,MIN(D174-F174,C174))</f>
        <v/>
      </c>
      <c r="F174" s="16">
        <f>IF(C174&gt;0.01,C174*Inputs!$B$64,0)</f>
        <v/>
      </c>
      <c r="G174" s="16">
        <f>IF(C174-E174&gt;0,MIN(Inputs!$B$20,C174-E174),0)</f>
        <v/>
      </c>
      <c r="H174" s="17">
        <f>IF(Inputs!$B$62+SUM(E$5:E174)+SUM(G$5:G173)&lt;Inputs!$B$72,1,0)</f>
        <v/>
      </c>
      <c r="I174" s="16">
        <f>MAX(0,C174-E174-G174)</f>
        <v/>
      </c>
    </row>
    <row r="175">
      <c r="A175" t="n">
        <v>171</v>
      </c>
      <c r="B175" s="15">
        <f>CEILING(A175/12,1)</f>
        <v/>
      </c>
      <c r="C175" s="16">
        <f>I174</f>
        <v/>
      </c>
      <c r="D175" s="16">
        <f>IF(AND(C175&gt;0.01,A175&lt;=Inputs!$B$65),Inputs!$B$66,0)</f>
        <v/>
      </c>
      <c r="E175" s="16">
        <f>IF(D175=0,0,MIN(D175-F175,C175))</f>
        <v/>
      </c>
      <c r="F175" s="16">
        <f>IF(C175&gt;0.01,C175*Inputs!$B$64,0)</f>
        <v/>
      </c>
      <c r="G175" s="16">
        <f>IF(C175-E175&gt;0,MIN(Inputs!$B$20,C175-E175),0)</f>
        <v/>
      </c>
      <c r="H175" s="17">
        <f>IF(Inputs!$B$62+SUM(E$5:E175)+SUM(G$5:G174)&lt;Inputs!$B$72,1,0)</f>
        <v/>
      </c>
      <c r="I175" s="16">
        <f>MAX(0,C175-E175-G175)</f>
        <v/>
      </c>
    </row>
    <row r="176">
      <c r="A176" t="n">
        <v>172</v>
      </c>
      <c r="B176" s="15">
        <f>CEILING(A176/12,1)</f>
        <v/>
      </c>
      <c r="C176" s="16">
        <f>I175</f>
        <v/>
      </c>
      <c r="D176" s="16">
        <f>IF(AND(C176&gt;0.01,A176&lt;=Inputs!$B$65),Inputs!$B$66,0)</f>
        <v/>
      </c>
      <c r="E176" s="16">
        <f>IF(D176=0,0,MIN(D176-F176,C176))</f>
        <v/>
      </c>
      <c r="F176" s="16">
        <f>IF(C176&gt;0.01,C176*Inputs!$B$64,0)</f>
        <v/>
      </c>
      <c r="G176" s="16">
        <f>IF(C176-E176&gt;0,MIN(Inputs!$B$20,C176-E176),0)</f>
        <v/>
      </c>
      <c r="H176" s="17">
        <f>IF(Inputs!$B$62+SUM(E$5:E176)+SUM(G$5:G175)&lt;Inputs!$B$72,1,0)</f>
        <v/>
      </c>
      <c r="I176" s="16">
        <f>MAX(0,C176-E176-G176)</f>
        <v/>
      </c>
    </row>
    <row r="177">
      <c r="A177" t="n">
        <v>173</v>
      </c>
      <c r="B177" s="15">
        <f>CEILING(A177/12,1)</f>
        <v/>
      </c>
      <c r="C177" s="16">
        <f>I176</f>
        <v/>
      </c>
      <c r="D177" s="16">
        <f>IF(AND(C177&gt;0.01,A177&lt;=Inputs!$B$65),Inputs!$B$66,0)</f>
        <v/>
      </c>
      <c r="E177" s="16">
        <f>IF(D177=0,0,MIN(D177-F177,C177))</f>
        <v/>
      </c>
      <c r="F177" s="16">
        <f>IF(C177&gt;0.01,C177*Inputs!$B$64,0)</f>
        <v/>
      </c>
      <c r="G177" s="16">
        <f>IF(C177-E177&gt;0,MIN(Inputs!$B$20,C177-E177),0)</f>
        <v/>
      </c>
      <c r="H177" s="17">
        <f>IF(Inputs!$B$62+SUM(E$5:E177)+SUM(G$5:G176)&lt;Inputs!$B$72,1,0)</f>
        <v/>
      </c>
      <c r="I177" s="16">
        <f>MAX(0,C177-E177-G177)</f>
        <v/>
      </c>
    </row>
    <row r="178">
      <c r="A178" t="n">
        <v>174</v>
      </c>
      <c r="B178" s="15">
        <f>CEILING(A178/12,1)</f>
        <v/>
      </c>
      <c r="C178" s="16">
        <f>I177</f>
        <v/>
      </c>
      <c r="D178" s="16">
        <f>IF(AND(C178&gt;0.01,A178&lt;=Inputs!$B$65),Inputs!$B$66,0)</f>
        <v/>
      </c>
      <c r="E178" s="16">
        <f>IF(D178=0,0,MIN(D178-F178,C178))</f>
        <v/>
      </c>
      <c r="F178" s="16">
        <f>IF(C178&gt;0.01,C178*Inputs!$B$64,0)</f>
        <v/>
      </c>
      <c r="G178" s="16">
        <f>IF(C178-E178&gt;0,MIN(Inputs!$B$20,C178-E178),0)</f>
        <v/>
      </c>
      <c r="H178" s="17">
        <f>IF(Inputs!$B$62+SUM(E$5:E178)+SUM(G$5:G177)&lt;Inputs!$B$72,1,0)</f>
        <v/>
      </c>
      <c r="I178" s="16">
        <f>MAX(0,C178-E178-G178)</f>
        <v/>
      </c>
    </row>
    <row r="179">
      <c r="A179" t="n">
        <v>175</v>
      </c>
      <c r="B179" s="15">
        <f>CEILING(A179/12,1)</f>
        <v/>
      </c>
      <c r="C179" s="16">
        <f>I178</f>
        <v/>
      </c>
      <c r="D179" s="16">
        <f>IF(AND(C179&gt;0.01,A179&lt;=Inputs!$B$65),Inputs!$B$66,0)</f>
        <v/>
      </c>
      <c r="E179" s="16">
        <f>IF(D179=0,0,MIN(D179-F179,C179))</f>
        <v/>
      </c>
      <c r="F179" s="16">
        <f>IF(C179&gt;0.01,C179*Inputs!$B$64,0)</f>
        <v/>
      </c>
      <c r="G179" s="16">
        <f>IF(C179-E179&gt;0,MIN(Inputs!$B$20,C179-E179),0)</f>
        <v/>
      </c>
      <c r="H179" s="17">
        <f>IF(Inputs!$B$62+SUM(E$5:E179)+SUM(G$5:G178)&lt;Inputs!$B$72,1,0)</f>
        <v/>
      </c>
      <c r="I179" s="16">
        <f>MAX(0,C179-E179-G179)</f>
        <v/>
      </c>
    </row>
    <row r="180">
      <c r="A180" t="n">
        <v>176</v>
      </c>
      <c r="B180" s="15">
        <f>CEILING(A180/12,1)</f>
        <v/>
      </c>
      <c r="C180" s="16">
        <f>I179</f>
        <v/>
      </c>
      <c r="D180" s="16">
        <f>IF(AND(C180&gt;0.01,A180&lt;=Inputs!$B$65),Inputs!$B$66,0)</f>
        <v/>
      </c>
      <c r="E180" s="16">
        <f>IF(D180=0,0,MIN(D180-F180,C180))</f>
        <v/>
      </c>
      <c r="F180" s="16">
        <f>IF(C180&gt;0.01,C180*Inputs!$B$64,0)</f>
        <v/>
      </c>
      <c r="G180" s="16">
        <f>IF(C180-E180&gt;0,MIN(Inputs!$B$20,C180-E180),0)</f>
        <v/>
      </c>
      <c r="H180" s="17">
        <f>IF(Inputs!$B$62+SUM(E$5:E180)+SUM(G$5:G179)&lt;Inputs!$B$72,1,0)</f>
        <v/>
      </c>
      <c r="I180" s="16">
        <f>MAX(0,C180-E180-G180)</f>
        <v/>
      </c>
    </row>
    <row r="181">
      <c r="A181" t="n">
        <v>177</v>
      </c>
      <c r="B181" s="15">
        <f>CEILING(A181/12,1)</f>
        <v/>
      </c>
      <c r="C181" s="16">
        <f>I180</f>
        <v/>
      </c>
      <c r="D181" s="16">
        <f>IF(AND(C181&gt;0.01,A181&lt;=Inputs!$B$65),Inputs!$B$66,0)</f>
        <v/>
      </c>
      <c r="E181" s="16">
        <f>IF(D181=0,0,MIN(D181-F181,C181))</f>
        <v/>
      </c>
      <c r="F181" s="16">
        <f>IF(C181&gt;0.01,C181*Inputs!$B$64,0)</f>
        <v/>
      </c>
      <c r="G181" s="16">
        <f>IF(C181-E181&gt;0,MIN(Inputs!$B$20,C181-E181),0)</f>
        <v/>
      </c>
      <c r="H181" s="17">
        <f>IF(Inputs!$B$62+SUM(E$5:E181)+SUM(G$5:G180)&lt;Inputs!$B$72,1,0)</f>
        <v/>
      </c>
      <c r="I181" s="16">
        <f>MAX(0,C181-E181-G181)</f>
        <v/>
      </c>
    </row>
    <row r="182">
      <c r="A182" t="n">
        <v>178</v>
      </c>
      <c r="B182" s="15">
        <f>CEILING(A182/12,1)</f>
        <v/>
      </c>
      <c r="C182" s="16">
        <f>I181</f>
        <v/>
      </c>
      <c r="D182" s="16">
        <f>IF(AND(C182&gt;0.01,A182&lt;=Inputs!$B$65),Inputs!$B$66,0)</f>
        <v/>
      </c>
      <c r="E182" s="16">
        <f>IF(D182=0,0,MIN(D182-F182,C182))</f>
        <v/>
      </c>
      <c r="F182" s="16">
        <f>IF(C182&gt;0.01,C182*Inputs!$B$64,0)</f>
        <v/>
      </c>
      <c r="G182" s="16">
        <f>IF(C182-E182&gt;0,MIN(Inputs!$B$20,C182-E182),0)</f>
        <v/>
      </c>
      <c r="H182" s="17">
        <f>IF(Inputs!$B$62+SUM(E$5:E182)+SUM(G$5:G181)&lt;Inputs!$B$72,1,0)</f>
        <v/>
      </c>
      <c r="I182" s="16">
        <f>MAX(0,C182-E182-G182)</f>
        <v/>
      </c>
    </row>
    <row r="183">
      <c r="A183" t="n">
        <v>179</v>
      </c>
      <c r="B183" s="15">
        <f>CEILING(A183/12,1)</f>
        <v/>
      </c>
      <c r="C183" s="16">
        <f>I182</f>
        <v/>
      </c>
      <c r="D183" s="16">
        <f>IF(AND(C183&gt;0.01,A183&lt;=Inputs!$B$65),Inputs!$B$66,0)</f>
        <v/>
      </c>
      <c r="E183" s="16">
        <f>IF(D183=0,0,MIN(D183-F183,C183))</f>
        <v/>
      </c>
      <c r="F183" s="16">
        <f>IF(C183&gt;0.01,C183*Inputs!$B$64,0)</f>
        <v/>
      </c>
      <c r="G183" s="16">
        <f>IF(C183-E183&gt;0,MIN(Inputs!$B$20,C183-E183),0)</f>
        <v/>
      </c>
      <c r="H183" s="17">
        <f>IF(Inputs!$B$62+SUM(E$5:E183)+SUM(G$5:G182)&lt;Inputs!$B$72,1,0)</f>
        <v/>
      </c>
      <c r="I183" s="16">
        <f>MAX(0,C183-E183-G183)</f>
        <v/>
      </c>
    </row>
    <row r="184">
      <c r="A184" t="n">
        <v>180</v>
      </c>
      <c r="B184" s="15">
        <f>CEILING(A184/12,1)</f>
        <v/>
      </c>
      <c r="C184" s="16">
        <f>I183</f>
        <v/>
      </c>
      <c r="D184" s="16">
        <f>IF(AND(C184&gt;0.01,A184&lt;=Inputs!$B$65),Inputs!$B$66,0)</f>
        <v/>
      </c>
      <c r="E184" s="16">
        <f>IF(D184=0,0,MIN(D184-F184,C184))</f>
        <v/>
      </c>
      <c r="F184" s="16">
        <f>IF(C184&gt;0.01,C184*Inputs!$B$64,0)</f>
        <v/>
      </c>
      <c r="G184" s="16">
        <f>IF(C184-E184&gt;0,MIN(Inputs!$B$20,C184-E184),0)</f>
        <v/>
      </c>
      <c r="H184" s="17">
        <f>IF(Inputs!$B$62+SUM(E$5:E184)+SUM(G$5:G183)&lt;Inputs!$B$72,1,0)</f>
        <v/>
      </c>
      <c r="I184" s="16">
        <f>MAX(0,C184-E184-G184)</f>
        <v/>
      </c>
    </row>
    <row r="185">
      <c r="A185" t="n">
        <v>181</v>
      </c>
      <c r="B185" s="15">
        <f>CEILING(A185/12,1)</f>
        <v/>
      </c>
      <c r="C185" s="16">
        <f>I184</f>
        <v/>
      </c>
      <c r="D185" s="16">
        <f>IF(AND(C185&gt;0.01,A185&lt;=Inputs!$B$65),Inputs!$B$66,0)</f>
        <v/>
      </c>
      <c r="E185" s="16">
        <f>IF(D185=0,0,MIN(D185-F185,C185))</f>
        <v/>
      </c>
      <c r="F185" s="16">
        <f>IF(C185&gt;0.01,C185*Inputs!$B$64,0)</f>
        <v/>
      </c>
      <c r="G185" s="16">
        <f>IF(C185-E185&gt;0,MIN(Inputs!$B$20,C185-E185),0)</f>
        <v/>
      </c>
      <c r="H185" s="17">
        <f>IF(Inputs!$B$62+SUM(E$5:E185)+SUM(G$5:G184)&lt;Inputs!$B$72,1,0)</f>
        <v/>
      </c>
      <c r="I185" s="16">
        <f>MAX(0,C185-E185-G185)</f>
        <v/>
      </c>
    </row>
    <row r="186">
      <c r="A186" t="n">
        <v>182</v>
      </c>
      <c r="B186" s="15">
        <f>CEILING(A186/12,1)</f>
        <v/>
      </c>
      <c r="C186" s="16">
        <f>I185</f>
        <v/>
      </c>
      <c r="D186" s="16">
        <f>IF(AND(C186&gt;0.01,A186&lt;=Inputs!$B$65),Inputs!$B$66,0)</f>
        <v/>
      </c>
      <c r="E186" s="16">
        <f>IF(D186=0,0,MIN(D186-F186,C186))</f>
        <v/>
      </c>
      <c r="F186" s="16">
        <f>IF(C186&gt;0.01,C186*Inputs!$B$64,0)</f>
        <v/>
      </c>
      <c r="G186" s="16">
        <f>IF(C186-E186&gt;0,MIN(Inputs!$B$20,C186-E186),0)</f>
        <v/>
      </c>
      <c r="H186" s="17">
        <f>IF(Inputs!$B$62+SUM(E$5:E186)+SUM(G$5:G185)&lt;Inputs!$B$72,1,0)</f>
        <v/>
      </c>
      <c r="I186" s="16">
        <f>MAX(0,C186-E186-G186)</f>
        <v/>
      </c>
    </row>
    <row r="187">
      <c r="A187" t="n">
        <v>183</v>
      </c>
      <c r="B187" s="15">
        <f>CEILING(A187/12,1)</f>
        <v/>
      </c>
      <c r="C187" s="16">
        <f>I186</f>
        <v/>
      </c>
      <c r="D187" s="16">
        <f>IF(AND(C187&gt;0.01,A187&lt;=Inputs!$B$65),Inputs!$B$66,0)</f>
        <v/>
      </c>
      <c r="E187" s="16">
        <f>IF(D187=0,0,MIN(D187-F187,C187))</f>
        <v/>
      </c>
      <c r="F187" s="16">
        <f>IF(C187&gt;0.01,C187*Inputs!$B$64,0)</f>
        <v/>
      </c>
      <c r="G187" s="16">
        <f>IF(C187-E187&gt;0,MIN(Inputs!$B$20,C187-E187),0)</f>
        <v/>
      </c>
      <c r="H187" s="17">
        <f>IF(Inputs!$B$62+SUM(E$5:E187)+SUM(G$5:G186)&lt;Inputs!$B$72,1,0)</f>
        <v/>
      </c>
      <c r="I187" s="16">
        <f>MAX(0,C187-E187-G187)</f>
        <v/>
      </c>
    </row>
    <row r="188">
      <c r="A188" t="n">
        <v>184</v>
      </c>
      <c r="B188" s="15">
        <f>CEILING(A188/12,1)</f>
        <v/>
      </c>
      <c r="C188" s="16">
        <f>I187</f>
        <v/>
      </c>
      <c r="D188" s="16">
        <f>IF(AND(C188&gt;0.01,A188&lt;=Inputs!$B$65),Inputs!$B$66,0)</f>
        <v/>
      </c>
      <c r="E188" s="16">
        <f>IF(D188=0,0,MIN(D188-F188,C188))</f>
        <v/>
      </c>
      <c r="F188" s="16">
        <f>IF(C188&gt;0.01,C188*Inputs!$B$64,0)</f>
        <v/>
      </c>
      <c r="G188" s="16">
        <f>IF(C188-E188&gt;0,MIN(Inputs!$B$20,C188-E188),0)</f>
        <v/>
      </c>
      <c r="H188" s="17">
        <f>IF(Inputs!$B$62+SUM(E$5:E188)+SUM(G$5:G187)&lt;Inputs!$B$72,1,0)</f>
        <v/>
      </c>
      <c r="I188" s="16">
        <f>MAX(0,C188-E188-G188)</f>
        <v/>
      </c>
    </row>
    <row r="189">
      <c r="A189" t="n">
        <v>185</v>
      </c>
      <c r="B189" s="15">
        <f>CEILING(A189/12,1)</f>
        <v/>
      </c>
      <c r="C189" s="16">
        <f>I188</f>
        <v/>
      </c>
      <c r="D189" s="16">
        <f>IF(AND(C189&gt;0.01,A189&lt;=Inputs!$B$65),Inputs!$B$66,0)</f>
        <v/>
      </c>
      <c r="E189" s="16">
        <f>IF(D189=0,0,MIN(D189-F189,C189))</f>
        <v/>
      </c>
      <c r="F189" s="16">
        <f>IF(C189&gt;0.01,C189*Inputs!$B$64,0)</f>
        <v/>
      </c>
      <c r="G189" s="16">
        <f>IF(C189-E189&gt;0,MIN(Inputs!$B$20,C189-E189),0)</f>
        <v/>
      </c>
      <c r="H189" s="17">
        <f>IF(Inputs!$B$62+SUM(E$5:E189)+SUM(G$5:G188)&lt;Inputs!$B$72,1,0)</f>
        <v/>
      </c>
      <c r="I189" s="16">
        <f>MAX(0,C189-E189-G189)</f>
        <v/>
      </c>
    </row>
    <row r="190">
      <c r="A190" t="n">
        <v>186</v>
      </c>
      <c r="B190" s="15">
        <f>CEILING(A190/12,1)</f>
        <v/>
      </c>
      <c r="C190" s="16">
        <f>I189</f>
        <v/>
      </c>
      <c r="D190" s="16">
        <f>IF(AND(C190&gt;0.01,A190&lt;=Inputs!$B$65),Inputs!$B$66,0)</f>
        <v/>
      </c>
      <c r="E190" s="16">
        <f>IF(D190=0,0,MIN(D190-F190,C190))</f>
        <v/>
      </c>
      <c r="F190" s="16">
        <f>IF(C190&gt;0.01,C190*Inputs!$B$64,0)</f>
        <v/>
      </c>
      <c r="G190" s="16">
        <f>IF(C190-E190&gt;0,MIN(Inputs!$B$20,C190-E190),0)</f>
        <v/>
      </c>
      <c r="H190" s="17">
        <f>IF(Inputs!$B$62+SUM(E$5:E190)+SUM(G$5:G189)&lt;Inputs!$B$72,1,0)</f>
        <v/>
      </c>
      <c r="I190" s="16">
        <f>MAX(0,C190-E190-G190)</f>
        <v/>
      </c>
    </row>
    <row r="191">
      <c r="A191" t="n">
        <v>187</v>
      </c>
      <c r="B191" s="15">
        <f>CEILING(A191/12,1)</f>
        <v/>
      </c>
      <c r="C191" s="16">
        <f>I190</f>
        <v/>
      </c>
      <c r="D191" s="16">
        <f>IF(AND(C191&gt;0.01,A191&lt;=Inputs!$B$65),Inputs!$B$66,0)</f>
        <v/>
      </c>
      <c r="E191" s="16">
        <f>IF(D191=0,0,MIN(D191-F191,C191))</f>
        <v/>
      </c>
      <c r="F191" s="16">
        <f>IF(C191&gt;0.01,C191*Inputs!$B$64,0)</f>
        <v/>
      </c>
      <c r="G191" s="16">
        <f>IF(C191-E191&gt;0,MIN(Inputs!$B$20,C191-E191),0)</f>
        <v/>
      </c>
      <c r="H191" s="17">
        <f>IF(Inputs!$B$62+SUM(E$5:E191)+SUM(G$5:G190)&lt;Inputs!$B$72,1,0)</f>
        <v/>
      </c>
      <c r="I191" s="16">
        <f>MAX(0,C191-E191-G191)</f>
        <v/>
      </c>
    </row>
    <row r="192">
      <c r="A192" t="n">
        <v>188</v>
      </c>
      <c r="B192" s="15">
        <f>CEILING(A192/12,1)</f>
        <v/>
      </c>
      <c r="C192" s="16">
        <f>I191</f>
        <v/>
      </c>
      <c r="D192" s="16">
        <f>IF(AND(C192&gt;0.01,A192&lt;=Inputs!$B$65),Inputs!$B$66,0)</f>
        <v/>
      </c>
      <c r="E192" s="16">
        <f>IF(D192=0,0,MIN(D192-F192,C192))</f>
        <v/>
      </c>
      <c r="F192" s="16">
        <f>IF(C192&gt;0.01,C192*Inputs!$B$64,0)</f>
        <v/>
      </c>
      <c r="G192" s="16">
        <f>IF(C192-E192&gt;0,MIN(Inputs!$B$20,C192-E192),0)</f>
        <v/>
      </c>
      <c r="H192" s="17">
        <f>IF(Inputs!$B$62+SUM(E$5:E192)+SUM(G$5:G191)&lt;Inputs!$B$72,1,0)</f>
        <v/>
      </c>
      <c r="I192" s="16">
        <f>MAX(0,C192-E192-G192)</f>
        <v/>
      </c>
    </row>
    <row r="193">
      <c r="A193" t="n">
        <v>189</v>
      </c>
      <c r="B193" s="15">
        <f>CEILING(A193/12,1)</f>
        <v/>
      </c>
      <c r="C193" s="16">
        <f>I192</f>
        <v/>
      </c>
      <c r="D193" s="16">
        <f>IF(AND(C193&gt;0.01,A193&lt;=Inputs!$B$65),Inputs!$B$66,0)</f>
        <v/>
      </c>
      <c r="E193" s="16">
        <f>IF(D193=0,0,MIN(D193-F193,C193))</f>
        <v/>
      </c>
      <c r="F193" s="16">
        <f>IF(C193&gt;0.01,C193*Inputs!$B$64,0)</f>
        <v/>
      </c>
      <c r="G193" s="16">
        <f>IF(C193-E193&gt;0,MIN(Inputs!$B$20,C193-E193),0)</f>
        <v/>
      </c>
      <c r="H193" s="17">
        <f>IF(Inputs!$B$62+SUM(E$5:E193)+SUM(G$5:G192)&lt;Inputs!$B$72,1,0)</f>
        <v/>
      </c>
      <c r="I193" s="16">
        <f>MAX(0,C193-E193-G193)</f>
        <v/>
      </c>
    </row>
    <row r="194">
      <c r="A194" t="n">
        <v>190</v>
      </c>
      <c r="B194" s="15">
        <f>CEILING(A194/12,1)</f>
        <v/>
      </c>
      <c r="C194" s="16">
        <f>I193</f>
        <v/>
      </c>
      <c r="D194" s="16">
        <f>IF(AND(C194&gt;0.01,A194&lt;=Inputs!$B$65),Inputs!$B$66,0)</f>
        <v/>
      </c>
      <c r="E194" s="16">
        <f>IF(D194=0,0,MIN(D194-F194,C194))</f>
        <v/>
      </c>
      <c r="F194" s="16">
        <f>IF(C194&gt;0.01,C194*Inputs!$B$64,0)</f>
        <v/>
      </c>
      <c r="G194" s="16">
        <f>IF(C194-E194&gt;0,MIN(Inputs!$B$20,C194-E194),0)</f>
        <v/>
      </c>
      <c r="H194" s="17">
        <f>IF(Inputs!$B$62+SUM(E$5:E194)+SUM(G$5:G193)&lt;Inputs!$B$72,1,0)</f>
        <v/>
      </c>
      <c r="I194" s="16">
        <f>MAX(0,C194-E194-G194)</f>
        <v/>
      </c>
    </row>
    <row r="195">
      <c r="A195" t="n">
        <v>191</v>
      </c>
      <c r="B195" s="15">
        <f>CEILING(A195/12,1)</f>
        <v/>
      </c>
      <c r="C195" s="16">
        <f>I194</f>
        <v/>
      </c>
      <c r="D195" s="16">
        <f>IF(AND(C195&gt;0.01,A195&lt;=Inputs!$B$65),Inputs!$B$66,0)</f>
        <v/>
      </c>
      <c r="E195" s="16">
        <f>IF(D195=0,0,MIN(D195-F195,C195))</f>
        <v/>
      </c>
      <c r="F195" s="16">
        <f>IF(C195&gt;0.01,C195*Inputs!$B$64,0)</f>
        <v/>
      </c>
      <c r="G195" s="16">
        <f>IF(C195-E195&gt;0,MIN(Inputs!$B$20,C195-E195),0)</f>
        <v/>
      </c>
      <c r="H195" s="17">
        <f>IF(Inputs!$B$62+SUM(E$5:E195)+SUM(G$5:G194)&lt;Inputs!$B$72,1,0)</f>
        <v/>
      </c>
      <c r="I195" s="16">
        <f>MAX(0,C195-E195-G195)</f>
        <v/>
      </c>
    </row>
    <row r="196">
      <c r="A196" t="n">
        <v>192</v>
      </c>
      <c r="B196" s="15">
        <f>CEILING(A196/12,1)</f>
        <v/>
      </c>
      <c r="C196" s="16">
        <f>I195</f>
        <v/>
      </c>
      <c r="D196" s="16">
        <f>IF(AND(C196&gt;0.01,A196&lt;=Inputs!$B$65),Inputs!$B$66,0)</f>
        <v/>
      </c>
      <c r="E196" s="16">
        <f>IF(D196=0,0,MIN(D196-F196,C196))</f>
        <v/>
      </c>
      <c r="F196" s="16">
        <f>IF(C196&gt;0.01,C196*Inputs!$B$64,0)</f>
        <v/>
      </c>
      <c r="G196" s="16">
        <f>IF(C196-E196&gt;0,MIN(Inputs!$B$20,C196-E196),0)</f>
        <v/>
      </c>
      <c r="H196" s="17">
        <f>IF(Inputs!$B$62+SUM(E$5:E196)+SUM(G$5:G195)&lt;Inputs!$B$72,1,0)</f>
        <v/>
      </c>
      <c r="I196" s="16">
        <f>MAX(0,C196-E196-G196)</f>
        <v/>
      </c>
    </row>
    <row r="197">
      <c r="A197" t="n">
        <v>193</v>
      </c>
      <c r="B197" s="15">
        <f>CEILING(A197/12,1)</f>
        <v/>
      </c>
      <c r="C197" s="16">
        <f>I196</f>
        <v/>
      </c>
      <c r="D197" s="16">
        <f>IF(AND(C197&gt;0.01,A197&lt;=Inputs!$B$65),Inputs!$B$66,0)</f>
        <v/>
      </c>
      <c r="E197" s="16">
        <f>IF(D197=0,0,MIN(D197-F197,C197))</f>
        <v/>
      </c>
      <c r="F197" s="16">
        <f>IF(C197&gt;0.01,C197*Inputs!$B$64,0)</f>
        <v/>
      </c>
      <c r="G197" s="16">
        <f>IF(C197-E197&gt;0,MIN(Inputs!$B$20,C197-E197),0)</f>
        <v/>
      </c>
      <c r="H197" s="17">
        <f>IF(Inputs!$B$62+SUM(E$5:E197)+SUM(G$5:G196)&lt;Inputs!$B$72,1,0)</f>
        <v/>
      </c>
      <c r="I197" s="16">
        <f>MAX(0,C197-E197-G197)</f>
        <v/>
      </c>
    </row>
    <row r="198">
      <c r="A198" t="n">
        <v>194</v>
      </c>
      <c r="B198" s="15">
        <f>CEILING(A198/12,1)</f>
        <v/>
      </c>
      <c r="C198" s="16">
        <f>I197</f>
        <v/>
      </c>
      <c r="D198" s="16">
        <f>IF(AND(C198&gt;0.01,A198&lt;=Inputs!$B$65),Inputs!$B$66,0)</f>
        <v/>
      </c>
      <c r="E198" s="16">
        <f>IF(D198=0,0,MIN(D198-F198,C198))</f>
        <v/>
      </c>
      <c r="F198" s="16">
        <f>IF(C198&gt;0.01,C198*Inputs!$B$64,0)</f>
        <v/>
      </c>
      <c r="G198" s="16">
        <f>IF(C198-E198&gt;0,MIN(Inputs!$B$20,C198-E198),0)</f>
        <v/>
      </c>
      <c r="H198" s="17">
        <f>IF(Inputs!$B$62+SUM(E$5:E198)+SUM(G$5:G197)&lt;Inputs!$B$72,1,0)</f>
        <v/>
      </c>
      <c r="I198" s="16">
        <f>MAX(0,C198-E198-G198)</f>
        <v/>
      </c>
    </row>
    <row r="199">
      <c r="A199" t="n">
        <v>195</v>
      </c>
      <c r="B199" s="15">
        <f>CEILING(A199/12,1)</f>
        <v/>
      </c>
      <c r="C199" s="16">
        <f>I198</f>
        <v/>
      </c>
      <c r="D199" s="16">
        <f>IF(AND(C199&gt;0.01,A199&lt;=Inputs!$B$65),Inputs!$B$66,0)</f>
        <v/>
      </c>
      <c r="E199" s="16">
        <f>IF(D199=0,0,MIN(D199-F199,C199))</f>
        <v/>
      </c>
      <c r="F199" s="16">
        <f>IF(C199&gt;0.01,C199*Inputs!$B$64,0)</f>
        <v/>
      </c>
      <c r="G199" s="16">
        <f>IF(C199-E199&gt;0,MIN(Inputs!$B$20,C199-E199),0)</f>
        <v/>
      </c>
      <c r="H199" s="17">
        <f>IF(Inputs!$B$62+SUM(E$5:E199)+SUM(G$5:G198)&lt;Inputs!$B$72,1,0)</f>
        <v/>
      </c>
      <c r="I199" s="16">
        <f>MAX(0,C199-E199-G199)</f>
        <v/>
      </c>
    </row>
    <row r="200">
      <c r="A200" t="n">
        <v>196</v>
      </c>
      <c r="B200" s="15">
        <f>CEILING(A200/12,1)</f>
        <v/>
      </c>
      <c r="C200" s="16">
        <f>I199</f>
        <v/>
      </c>
      <c r="D200" s="16">
        <f>IF(AND(C200&gt;0.01,A200&lt;=Inputs!$B$65),Inputs!$B$66,0)</f>
        <v/>
      </c>
      <c r="E200" s="16">
        <f>IF(D200=0,0,MIN(D200-F200,C200))</f>
        <v/>
      </c>
      <c r="F200" s="16">
        <f>IF(C200&gt;0.01,C200*Inputs!$B$64,0)</f>
        <v/>
      </c>
      <c r="G200" s="16">
        <f>IF(C200-E200&gt;0,MIN(Inputs!$B$20,C200-E200),0)</f>
        <v/>
      </c>
      <c r="H200" s="17">
        <f>IF(Inputs!$B$62+SUM(E$5:E200)+SUM(G$5:G199)&lt;Inputs!$B$72,1,0)</f>
        <v/>
      </c>
      <c r="I200" s="16">
        <f>MAX(0,C200-E200-G200)</f>
        <v/>
      </c>
    </row>
    <row r="201">
      <c r="A201" t="n">
        <v>197</v>
      </c>
      <c r="B201" s="15">
        <f>CEILING(A201/12,1)</f>
        <v/>
      </c>
      <c r="C201" s="16">
        <f>I200</f>
        <v/>
      </c>
      <c r="D201" s="16">
        <f>IF(AND(C201&gt;0.01,A201&lt;=Inputs!$B$65),Inputs!$B$66,0)</f>
        <v/>
      </c>
      <c r="E201" s="16">
        <f>IF(D201=0,0,MIN(D201-F201,C201))</f>
        <v/>
      </c>
      <c r="F201" s="16">
        <f>IF(C201&gt;0.01,C201*Inputs!$B$64,0)</f>
        <v/>
      </c>
      <c r="G201" s="16">
        <f>IF(C201-E201&gt;0,MIN(Inputs!$B$20,C201-E201),0)</f>
        <v/>
      </c>
      <c r="H201" s="17">
        <f>IF(Inputs!$B$62+SUM(E$5:E201)+SUM(G$5:G200)&lt;Inputs!$B$72,1,0)</f>
        <v/>
      </c>
      <c r="I201" s="16">
        <f>MAX(0,C201-E201-G201)</f>
        <v/>
      </c>
    </row>
    <row r="202">
      <c r="A202" t="n">
        <v>198</v>
      </c>
      <c r="B202" s="15">
        <f>CEILING(A202/12,1)</f>
        <v/>
      </c>
      <c r="C202" s="16">
        <f>I201</f>
        <v/>
      </c>
      <c r="D202" s="16">
        <f>IF(AND(C202&gt;0.01,A202&lt;=Inputs!$B$65),Inputs!$B$66,0)</f>
        <v/>
      </c>
      <c r="E202" s="16">
        <f>IF(D202=0,0,MIN(D202-F202,C202))</f>
        <v/>
      </c>
      <c r="F202" s="16">
        <f>IF(C202&gt;0.01,C202*Inputs!$B$64,0)</f>
        <v/>
      </c>
      <c r="G202" s="16">
        <f>IF(C202-E202&gt;0,MIN(Inputs!$B$20,C202-E202),0)</f>
        <v/>
      </c>
      <c r="H202" s="17">
        <f>IF(Inputs!$B$62+SUM(E$5:E202)+SUM(G$5:G201)&lt;Inputs!$B$72,1,0)</f>
        <v/>
      </c>
      <c r="I202" s="16">
        <f>MAX(0,C202-E202-G202)</f>
        <v/>
      </c>
    </row>
    <row r="203">
      <c r="A203" t="n">
        <v>199</v>
      </c>
      <c r="B203" s="15">
        <f>CEILING(A203/12,1)</f>
        <v/>
      </c>
      <c r="C203" s="16">
        <f>I202</f>
        <v/>
      </c>
      <c r="D203" s="16">
        <f>IF(AND(C203&gt;0.01,A203&lt;=Inputs!$B$65),Inputs!$B$66,0)</f>
        <v/>
      </c>
      <c r="E203" s="16">
        <f>IF(D203=0,0,MIN(D203-F203,C203))</f>
        <v/>
      </c>
      <c r="F203" s="16">
        <f>IF(C203&gt;0.01,C203*Inputs!$B$64,0)</f>
        <v/>
      </c>
      <c r="G203" s="16">
        <f>IF(C203-E203&gt;0,MIN(Inputs!$B$20,C203-E203),0)</f>
        <v/>
      </c>
      <c r="H203" s="17">
        <f>IF(Inputs!$B$62+SUM(E$5:E203)+SUM(G$5:G202)&lt;Inputs!$B$72,1,0)</f>
        <v/>
      </c>
      <c r="I203" s="16">
        <f>MAX(0,C203-E203-G203)</f>
        <v/>
      </c>
    </row>
    <row r="204">
      <c r="A204" t="n">
        <v>200</v>
      </c>
      <c r="B204" s="15">
        <f>CEILING(A204/12,1)</f>
        <v/>
      </c>
      <c r="C204" s="16">
        <f>I203</f>
        <v/>
      </c>
      <c r="D204" s="16">
        <f>IF(AND(C204&gt;0.01,A204&lt;=Inputs!$B$65),Inputs!$B$66,0)</f>
        <v/>
      </c>
      <c r="E204" s="16">
        <f>IF(D204=0,0,MIN(D204-F204,C204))</f>
        <v/>
      </c>
      <c r="F204" s="16">
        <f>IF(C204&gt;0.01,C204*Inputs!$B$64,0)</f>
        <v/>
      </c>
      <c r="G204" s="16">
        <f>IF(C204-E204&gt;0,MIN(Inputs!$B$20,C204-E204),0)</f>
        <v/>
      </c>
      <c r="H204" s="17">
        <f>IF(Inputs!$B$62+SUM(E$5:E204)+SUM(G$5:G203)&lt;Inputs!$B$72,1,0)</f>
        <v/>
      </c>
      <c r="I204" s="16">
        <f>MAX(0,C204-E204-G204)</f>
        <v/>
      </c>
    </row>
    <row r="205">
      <c r="A205" t="n">
        <v>201</v>
      </c>
      <c r="B205" s="15">
        <f>CEILING(A205/12,1)</f>
        <v/>
      </c>
      <c r="C205" s="16">
        <f>I204</f>
        <v/>
      </c>
      <c r="D205" s="16">
        <f>IF(AND(C205&gt;0.01,A205&lt;=Inputs!$B$65),Inputs!$B$66,0)</f>
        <v/>
      </c>
      <c r="E205" s="16">
        <f>IF(D205=0,0,MIN(D205-F205,C205))</f>
        <v/>
      </c>
      <c r="F205" s="16">
        <f>IF(C205&gt;0.01,C205*Inputs!$B$64,0)</f>
        <v/>
      </c>
      <c r="G205" s="16">
        <f>IF(C205-E205&gt;0,MIN(Inputs!$B$20,C205-E205),0)</f>
        <v/>
      </c>
      <c r="H205" s="17">
        <f>IF(Inputs!$B$62+SUM(E$5:E205)+SUM(G$5:G204)&lt;Inputs!$B$72,1,0)</f>
        <v/>
      </c>
      <c r="I205" s="16">
        <f>MAX(0,C205-E205-G205)</f>
        <v/>
      </c>
    </row>
    <row r="206">
      <c r="A206" t="n">
        <v>202</v>
      </c>
      <c r="B206" s="15">
        <f>CEILING(A206/12,1)</f>
        <v/>
      </c>
      <c r="C206" s="16">
        <f>I205</f>
        <v/>
      </c>
      <c r="D206" s="16">
        <f>IF(AND(C206&gt;0.01,A206&lt;=Inputs!$B$65),Inputs!$B$66,0)</f>
        <v/>
      </c>
      <c r="E206" s="16">
        <f>IF(D206=0,0,MIN(D206-F206,C206))</f>
        <v/>
      </c>
      <c r="F206" s="16">
        <f>IF(C206&gt;0.01,C206*Inputs!$B$64,0)</f>
        <v/>
      </c>
      <c r="G206" s="16">
        <f>IF(C206-E206&gt;0,MIN(Inputs!$B$20,C206-E206),0)</f>
        <v/>
      </c>
      <c r="H206" s="17">
        <f>IF(Inputs!$B$62+SUM(E$5:E206)+SUM(G$5:G205)&lt;Inputs!$B$72,1,0)</f>
        <v/>
      </c>
      <c r="I206" s="16">
        <f>MAX(0,C206-E206-G206)</f>
        <v/>
      </c>
    </row>
    <row r="207">
      <c r="A207" t="n">
        <v>203</v>
      </c>
      <c r="B207" s="15">
        <f>CEILING(A207/12,1)</f>
        <v/>
      </c>
      <c r="C207" s="16">
        <f>I206</f>
        <v/>
      </c>
      <c r="D207" s="16">
        <f>IF(AND(C207&gt;0.01,A207&lt;=Inputs!$B$65),Inputs!$B$66,0)</f>
        <v/>
      </c>
      <c r="E207" s="16">
        <f>IF(D207=0,0,MIN(D207-F207,C207))</f>
        <v/>
      </c>
      <c r="F207" s="16">
        <f>IF(C207&gt;0.01,C207*Inputs!$B$64,0)</f>
        <v/>
      </c>
      <c r="G207" s="16">
        <f>IF(C207-E207&gt;0,MIN(Inputs!$B$20,C207-E207),0)</f>
        <v/>
      </c>
      <c r="H207" s="17">
        <f>IF(Inputs!$B$62+SUM(E$5:E207)+SUM(G$5:G206)&lt;Inputs!$B$72,1,0)</f>
        <v/>
      </c>
      <c r="I207" s="16">
        <f>MAX(0,C207-E207-G207)</f>
        <v/>
      </c>
    </row>
    <row r="208">
      <c r="A208" t="n">
        <v>204</v>
      </c>
      <c r="B208" s="15">
        <f>CEILING(A208/12,1)</f>
        <v/>
      </c>
      <c r="C208" s="16">
        <f>I207</f>
        <v/>
      </c>
      <c r="D208" s="16">
        <f>IF(AND(C208&gt;0.01,A208&lt;=Inputs!$B$65),Inputs!$B$66,0)</f>
        <v/>
      </c>
      <c r="E208" s="16">
        <f>IF(D208=0,0,MIN(D208-F208,C208))</f>
        <v/>
      </c>
      <c r="F208" s="16">
        <f>IF(C208&gt;0.01,C208*Inputs!$B$64,0)</f>
        <v/>
      </c>
      <c r="G208" s="16">
        <f>IF(C208-E208&gt;0,MIN(Inputs!$B$20,C208-E208),0)</f>
        <v/>
      </c>
      <c r="H208" s="17">
        <f>IF(Inputs!$B$62+SUM(E$5:E208)+SUM(G$5:G207)&lt;Inputs!$B$72,1,0)</f>
        <v/>
      </c>
      <c r="I208" s="16">
        <f>MAX(0,C208-E208-G208)</f>
        <v/>
      </c>
    </row>
    <row r="209">
      <c r="A209" t="n">
        <v>205</v>
      </c>
      <c r="B209" s="15">
        <f>CEILING(A209/12,1)</f>
        <v/>
      </c>
      <c r="C209" s="16">
        <f>I208</f>
        <v/>
      </c>
      <c r="D209" s="16">
        <f>IF(AND(C209&gt;0.01,A209&lt;=Inputs!$B$65),Inputs!$B$66,0)</f>
        <v/>
      </c>
      <c r="E209" s="16">
        <f>IF(D209=0,0,MIN(D209-F209,C209))</f>
        <v/>
      </c>
      <c r="F209" s="16">
        <f>IF(C209&gt;0.01,C209*Inputs!$B$64,0)</f>
        <v/>
      </c>
      <c r="G209" s="16">
        <f>IF(C209-E209&gt;0,MIN(Inputs!$B$20,C209-E209),0)</f>
        <v/>
      </c>
      <c r="H209" s="17">
        <f>IF(Inputs!$B$62+SUM(E$5:E209)+SUM(G$5:G208)&lt;Inputs!$B$72,1,0)</f>
        <v/>
      </c>
      <c r="I209" s="16">
        <f>MAX(0,C209-E209-G209)</f>
        <v/>
      </c>
    </row>
    <row r="210">
      <c r="A210" t="n">
        <v>206</v>
      </c>
      <c r="B210" s="15">
        <f>CEILING(A210/12,1)</f>
        <v/>
      </c>
      <c r="C210" s="16">
        <f>I209</f>
        <v/>
      </c>
      <c r="D210" s="16">
        <f>IF(AND(C210&gt;0.01,A210&lt;=Inputs!$B$65),Inputs!$B$66,0)</f>
        <v/>
      </c>
      <c r="E210" s="16">
        <f>IF(D210=0,0,MIN(D210-F210,C210))</f>
        <v/>
      </c>
      <c r="F210" s="16">
        <f>IF(C210&gt;0.01,C210*Inputs!$B$64,0)</f>
        <v/>
      </c>
      <c r="G210" s="16">
        <f>IF(C210-E210&gt;0,MIN(Inputs!$B$20,C210-E210),0)</f>
        <v/>
      </c>
      <c r="H210" s="17">
        <f>IF(Inputs!$B$62+SUM(E$5:E210)+SUM(G$5:G209)&lt;Inputs!$B$72,1,0)</f>
        <v/>
      </c>
      <c r="I210" s="16">
        <f>MAX(0,C210-E210-G210)</f>
        <v/>
      </c>
    </row>
    <row r="211">
      <c r="A211" t="n">
        <v>207</v>
      </c>
      <c r="B211" s="15">
        <f>CEILING(A211/12,1)</f>
        <v/>
      </c>
      <c r="C211" s="16">
        <f>I210</f>
        <v/>
      </c>
      <c r="D211" s="16">
        <f>IF(AND(C211&gt;0.01,A211&lt;=Inputs!$B$65),Inputs!$B$66,0)</f>
        <v/>
      </c>
      <c r="E211" s="16">
        <f>IF(D211=0,0,MIN(D211-F211,C211))</f>
        <v/>
      </c>
      <c r="F211" s="16">
        <f>IF(C211&gt;0.01,C211*Inputs!$B$64,0)</f>
        <v/>
      </c>
      <c r="G211" s="16">
        <f>IF(C211-E211&gt;0,MIN(Inputs!$B$20,C211-E211),0)</f>
        <v/>
      </c>
      <c r="H211" s="17">
        <f>IF(Inputs!$B$62+SUM(E$5:E211)+SUM(G$5:G210)&lt;Inputs!$B$72,1,0)</f>
        <v/>
      </c>
      <c r="I211" s="16">
        <f>MAX(0,C211-E211-G211)</f>
        <v/>
      </c>
    </row>
    <row r="212">
      <c r="A212" t="n">
        <v>208</v>
      </c>
      <c r="B212" s="15">
        <f>CEILING(A212/12,1)</f>
        <v/>
      </c>
      <c r="C212" s="16">
        <f>I211</f>
        <v/>
      </c>
      <c r="D212" s="16">
        <f>IF(AND(C212&gt;0.01,A212&lt;=Inputs!$B$65),Inputs!$B$66,0)</f>
        <v/>
      </c>
      <c r="E212" s="16">
        <f>IF(D212=0,0,MIN(D212-F212,C212))</f>
        <v/>
      </c>
      <c r="F212" s="16">
        <f>IF(C212&gt;0.01,C212*Inputs!$B$64,0)</f>
        <v/>
      </c>
      <c r="G212" s="16">
        <f>IF(C212-E212&gt;0,MIN(Inputs!$B$20,C212-E212),0)</f>
        <v/>
      </c>
      <c r="H212" s="17">
        <f>IF(Inputs!$B$62+SUM(E$5:E212)+SUM(G$5:G211)&lt;Inputs!$B$72,1,0)</f>
        <v/>
      </c>
      <c r="I212" s="16">
        <f>MAX(0,C212-E212-G212)</f>
        <v/>
      </c>
    </row>
    <row r="213">
      <c r="A213" t="n">
        <v>209</v>
      </c>
      <c r="B213" s="15">
        <f>CEILING(A213/12,1)</f>
        <v/>
      </c>
      <c r="C213" s="16">
        <f>I212</f>
        <v/>
      </c>
      <c r="D213" s="16">
        <f>IF(AND(C213&gt;0.01,A213&lt;=Inputs!$B$65),Inputs!$B$66,0)</f>
        <v/>
      </c>
      <c r="E213" s="16">
        <f>IF(D213=0,0,MIN(D213-F213,C213))</f>
        <v/>
      </c>
      <c r="F213" s="16">
        <f>IF(C213&gt;0.01,C213*Inputs!$B$64,0)</f>
        <v/>
      </c>
      <c r="G213" s="16">
        <f>IF(C213-E213&gt;0,MIN(Inputs!$B$20,C213-E213),0)</f>
        <v/>
      </c>
      <c r="H213" s="17">
        <f>IF(Inputs!$B$62+SUM(E$5:E213)+SUM(G$5:G212)&lt;Inputs!$B$72,1,0)</f>
        <v/>
      </c>
      <c r="I213" s="16">
        <f>MAX(0,C213-E213-G213)</f>
        <v/>
      </c>
    </row>
    <row r="214">
      <c r="A214" t="n">
        <v>210</v>
      </c>
      <c r="B214" s="15">
        <f>CEILING(A214/12,1)</f>
        <v/>
      </c>
      <c r="C214" s="16">
        <f>I213</f>
        <v/>
      </c>
      <c r="D214" s="16">
        <f>IF(AND(C214&gt;0.01,A214&lt;=Inputs!$B$65),Inputs!$B$66,0)</f>
        <v/>
      </c>
      <c r="E214" s="16">
        <f>IF(D214=0,0,MIN(D214-F214,C214))</f>
        <v/>
      </c>
      <c r="F214" s="16">
        <f>IF(C214&gt;0.01,C214*Inputs!$B$64,0)</f>
        <v/>
      </c>
      <c r="G214" s="16">
        <f>IF(C214-E214&gt;0,MIN(Inputs!$B$20,C214-E214),0)</f>
        <v/>
      </c>
      <c r="H214" s="17">
        <f>IF(Inputs!$B$62+SUM(E$5:E214)+SUM(G$5:G213)&lt;Inputs!$B$72,1,0)</f>
        <v/>
      </c>
      <c r="I214" s="16">
        <f>MAX(0,C214-E214-G214)</f>
        <v/>
      </c>
    </row>
    <row r="215">
      <c r="A215" t="n">
        <v>211</v>
      </c>
      <c r="B215" s="15">
        <f>CEILING(A215/12,1)</f>
        <v/>
      </c>
      <c r="C215" s="16">
        <f>I214</f>
        <v/>
      </c>
      <c r="D215" s="16">
        <f>IF(AND(C215&gt;0.01,A215&lt;=Inputs!$B$65),Inputs!$B$66,0)</f>
        <v/>
      </c>
      <c r="E215" s="16">
        <f>IF(D215=0,0,MIN(D215-F215,C215))</f>
        <v/>
      </c>
      <c r="F215" s="16">
        <f>IF(C215&gt;0.01,C215*Inputs!$B$64,0)</f>
        <v/>
      </c>
      <c r="G215" s="16">
        <f>IF(C215-E215&gt;0,MIN(Inputs!$B$20,C215-E215),0)</f>
        <v/>
      </c>
      <c r="H215" s="17">
        <f>IF(Inputs!$B$62+SUM(E$5:E215)+SUM(G$5:G214)&lt;Inputs!$B$72,1,0)</f>
        <v/>
      </c>
      <c r="I215" s="16">
        <f>MAX(0,C215-E215-G215)</f>
        <v/>
      </c>
    </row>
    <row r="216">
      <c r="A216" t="n">
        <v>212</v>
      </c>
      <c r="B216" s="15">
        <f>CEILING(A216/12,1)</f>
        <v/>
      </c>
      <c r="C216" s="16">
        <f>I215</f>
        <v/>
      </c>
      <c r="D216" s="16">
        <f>IF(AND(C216&gt;0.01,A216&lt;=Inputs!$B$65),Inputs!$B$66,0)</f>
        <v/>
      </c>
      <c r="E216" s="16">
        <f>IF(D216=0,0,MIN(D216-F216,C216))</f>
        <v/>
      </c>
      <c r="F216" s="16">
        <f>IF(C216&gt;0.01,C216*Inputs!$B$64,0)</f>
        <v/>
      </c>
      <c r="G216" s="16">
        <f>IF(C216-E216&gt;0,MIN(Inputs!$B$20,C216-E216),0)</f>
        <v/>
      </c>
      <c r="H216" s="17">
        <f>IF(Inputs!$B$62+SUM(E$5:E216)+SUM(G$5:G215)&lt;Inputs!$B$72,1,0)</f>
        <v/>
      </c>
      <c r="I216" s="16">
        <f>MAX(0,C216-E216-G216)</f>
        <v/>
      </c>
    </row>
    <row r="217">
      <c r="A217" t="n">
        <v>213</v>
      </c>
      <c r="B217" s="15">
        <f>CEILING(A217/12,1)</f>
        <v/>
      </c>
      <c r="C217" s="16">
        <f>I216</f>
        <v/>
      </c>
      <c r="D217" s="16">
        <f>IF(AND(C217&gt;0.01,A217&lt;=Inputs!$B$65),Inputs!$B$66,0)</f>
        <v/>
      </c>
      <c r="E217" s="16">
        <f>IF(D217=0,0,MIN(D217-F217,C217))</f>
        <v/>
      </c>
      <c r="F217" s="16">
        <f>IF(C217&gt;0.01,C217*Inputs!$B$64,0)</f>
        <v/>
      </c>
      <c r="G217" s="16">
        <f>IF(C217-E217&gt;0,MIN(Inputs!$B$20,C217-E217),0)</f>
        <v/>
      </c>
      <c r="H217" s="17">
        <f>IF(Inputs!$B$62+SUM(E$5:E217)+SUM(G$5:G216)&lt;Inputs!$B$72,1,0)</f>
        <v/>
      </c>
      <c r="I217" s="16">
        <f>MAX(0,C217-E217-G217)</f>
        <v/>
      </c>
    </row>
    <row r="218">
      <c r="A218" t="n">
        <v>214</v>
      </c>
      <c r="B218" s="15">
        <f>CEILING(A218/12,1)</f>
        <v/>
      </c>
      <c r="C218" s="16">
        <f>I217</f>
        <v/>
      </c>
      <c r="D218" s="16">
        <f>IF(AND(C218&gt;0.01,A218&lt;=Inputs!$B$65),Inputs!$B$66,0)</f>
        <v/>
      </c>
      <c r="E218" s="16">
        <f>IF(D218=0,0,MIN(D218-F218,C218))</f>
        <v/>
      </c>
      <c r="F218" s="16">
        <f>IF(C218&gt;0.01,C218*Inputs!$B$64,0)</f>
        <v/>
      </c>
      <c r="G218" s="16">
        <f>IF(C218-E218&gt;0,MIN(Inputs!$B$20,C218-E218),0)</f>
        <v/>
      </c>
      <c r="H218" s="17">
        <f>IF(Inputs!$B$62+SUM(E$5:E218)+SUM(G$5:G217)&lt;Inputs!$B$72,1,0)</f>
        <v/>
      </c>
      <c r="I218" s="16">
        <f>MAX(0,C218-E218-G218)</f>
        <v/>
      </c>
    </row>
    <row r="219">
      <c r="A219" t="n">
        <v>215</v>
      </c>
      <c r="B219" s="15">
        <f>CEILING(A219/12,1)</f>
        <v/>
      </c>
      <c r="C219" s="16">
        <f>I218</f>
        <v/>
      </c>
      <c r="D219" s="16">
        <f>IF(AND(C219&gt;0.01,A219&lt;=Inputs!$B$65),Inputs!$B$66,0)</f>
        <v/>
      </c>
      <c r="E219" s="16">
        <f>IF(D219=0,0,MIN(D219-F219,C219))</f>
        <v/>
      </c>
      <c r="F219" s="16">
        <f>IF(C219&gt;0.01,C219*Inputs!$B$64,0)</f>
        <v/>
      </c>
      <c r="G219" s="16">
        <f>IF(C219-E219&gt;0,MIN(Inputs!$B$20,C219-E219),0)</f>
        <v/>
      </c>
      <c r="H219" s="17">
        <f>IF(Inputs!$B$62+SUM(E$5:E219)+SUM(G$5:G218)&lt;Inputs!$B$72,1,0)</f>
        <v/>
      </c>
      <c r="I219" s="16">
        <f>MAX(0,C219-E219-G219)</f>
        <v/>
      </c>
    </row>
    <row r="220">
      <c r="A220" t="n">
        <v>216</v>
      </c>
      <c r="B220" s="15">
        <f>CEILING(A220/12,1)</f>
        <v/>
      </c>
      <c r="C220" s="16">
        <f>I219</f>
        <v/>
      </c>
      <c r="D220" s="16">
        <f>IF(AND(C220&gt;0.01,A220&lt;=Inputs!$B$65),Inputs!$B$66,0)</f>
        <v/>
      </c>
      <c r="E220" s="16">
        <f>IF(D220=0,0,MIN(D220-F220,C220))</f>
        <v/>
      </c>
      <c r="F220" s="16">
        <f>IF(C220&gt;0.01,C220*Inputs!$B$64,0)</f>
        <v/>
      </c>
      <c r="G220" s="16">
        <f>IF(C220-E220&gt;0,MIN(Inputs!$B$20,C220-E220),0)</f>
        <v/>
      </c>
      <c r="H220" s="17">
        <f>IF(Inputs!$B$62+SUM(E$5:E220)+SUM(G$5:G219)&lt;Inputs!$B$72,1,0)</f>
        <v/>
      </c>
      <c r="I220" s="16">
        <f>MAX(0,C220-E220-G220)</f>
        <v/>
      </c>
    </row>
    <row r="221">
      <c r="A221" t="n">
        <v>217</v>
      </c>
      <c r="B221" s="15">
        <f>CEILING(A221/12,1)</f>
        <v/>
      </c>
      <c r="C221" s="16">
        <f>I220</f>
        <v/>
      </c>
      <c r="D221" s="16">
        <f>IF(AND(C221&gt;0.01,A221&lt;=Inputs!$B$65),Inputs!$B$66,0)</f>
        <v/>
      </c>
      <c r="E221" s="16">
        <f>IF(D221=0,0,MIN(D221-F221,C221))</f>
        <v/>
      </c>
      <c r="F221" s="16">
        <f>IF(C221&gt;0.01,C221*Inputs!$B$64,0)</f>
        <v/>
      </c>
      <c r="G221" s="16">
        <f>IF(C221-E221&gt;0,MIN(Inputs!$B$20,C221-E221),0)</f>
        <v/>
      </c>
      <c r="H221" s="17">
        <f>IF(Inputs!$B$62+SUM(E$5:E221)+SUM(G$5:G220)&lt;Inputs!$B$72,1,0)</f>
        <v/>
      </c>
      <c r="I221" s="16">
        <f>MAX(0,C221-E221-G221)</f>
        <v/>
      </c>
    </row>
    <row r="222">
      <c r="A222" t="n">
        <v>218</v>
      </c>
      <c r="B222" s="15">
        <f>CEILING(A222/12,1)</f>
        <v/>
      </c>
      <c r="C222" s="16">
        <f>I221</f>
        <v/>
      </c>
      <c r="D222" s="16">
        <f>IF(AND(C222&gt;0.01,A222&lt;=Inputs!$B$65),Inputs!$B$66,0)</f>
        <v/>
      </c>
      <c r="E222" s="16">
        <f>IF(D222=0,0,MIN(D222-F222,C222))</f>
        <v/>
      </c>
      <c r="F222" s="16">
        <f>IF(C222&gt;0.01,C222*Inputs!$B$64,0)</f>
        <v/>
      </c>
      <c r="G222" s="16">
        <f>IF(C222-E222&gt;0,MIN(Inputs!$B$20,C222-E222),0)</f>
        <v/>
      </c>
      <c r="H222" s="17">
        <f>IF(Inputs!$B$62+SUM(E$5:E222)+SUM(G$5:G221)&lt;Inputs!$B$72,1,0)</f>
        <v/>
      </c>
      <c r="I222" s="16">
        <f>MAX(0,C222-E222-G222)</f>
        <v/>
      </c>
    </row>
    <row r="223">
      <c r="A223" t="n">
        <v>219</v>
      </c>
      <c r="B223" s="15">
        <f>CEILING(A223/12,1)</f>
        <v/>
      </c>
      <c r="C223" s="16">
        <f>I222</f>
        <v/>
      </c>
      <c r="D223" s="16">
        <f>IF(AND(C223&gt;0.01,A223&lt;=Inputs!$B$65),Inputs!$B$66,0)</f>
        <v/>
      </c>
      <c r="E223" s="16">
        <f>IF(D223=0,0,MIN(D223-F223,C223))</f>
        <v/>
      </c>
      <c r="F223" s="16">
        <f>IF(C223&gt;0.01,C223*Inputs!$B$64,0)</f>
        <v/>
      </c>
      <c r="G223" s="16">
        <f>IF(C223-E223&gt;0,MIN(Inputs!$B$20,C223-E223),0)</f>
        <v/>
      </c>
      <c r="H223" s="17">
        <f>IF(Inputs!$B$62+SUM(E$5:E223)+SUM(G$5:G222)&lt;Inputs!$B$72,1,0)</f>
        <v/>
      </c>
      <c r="I223" s="16">
        <f>MAX(0,C223-E223-G223)</f>
        <v/>
      </c>
    </row>
    <row r="224">
      <c r="A224" t="n">
        <v>220</v>
      </c>
      <c r="B224" s="15">
        <f>CEILING(A224/12,1)</f>
        <v/>
      </c>
      <c r="C224" s="16">
        <f>I223</f>
        <v/>
      </c>
      <c r="D224" s="16">
        <f>IF(AND(C224&gt;0.01,A224&lt;=Inputs!$B$65),Inputs!$B$66,0)</f>
        <v/>
      </c>
      <c r="E224" s="16">
        <f>IF(D224=0,0,MIN(D224-F224,C224))</f>
        <v/>
      </c>
      <c r="F224" s="16">
        <f>IF(C224&gt;0.01,C224*Inputs!$B$64,0)</f>
        <v/>
      </c>
      <c r="G224" s="16">
        <f>IF(C224-E224&gt;0,MIN(Inputs!$B$20,C224-E224),0)</f>
        <v/>
      </c>
      <c r="H224" s="17">
        <f>IF(Inputs!$B$62+SUM(E$5:E224)+SUM(G$5:G223)&lt;Inputs!$B$72,1,0)</f>
        <v/>
      </c>
      <c r="I224" s="16">
        <f>MAX(0,C224-E224-G224)</f>
        <v/>
      </c>
    </row>
    <row r="225">
      <c r="A225" t="n">
        <v>221</v>
      </c>
      <c r="B225" s="15">
        <f>CEILING(A225/12,1)</f>
        <v/>
      </c>
      <c r="C225" s="16">
        <f>I224</f>
        <v/>
      </c>
      <c r="D225" s="16">
        <f>IF(AND(C225&gt;0.01,A225&lt;=Inputs!$B$65),Inputs!$B$66,0)</f>
        <v/>
      </c>
      <c r="E225" s="16">
        <f>IF(D225=0,0,MIN(D225-F225,C225))</f>
        <v/>
      </c>
      <c r="F225" s="16">
        <f>IF(C225&gt;0.01,C225*Inputs!$B$64,0)</f>
        <v/>
      </c>
      <c r="G225" s="16">
        <f>IF(C225-E225&gt;0,MIN(Inputs!$B$20,C225-E225),0)</f>
        <v/>
      </c>
      <c r="H225" s="17">
        <f>IF(Inputs!$B$62+SUM(E$5:E225)+SUM(G$5:G224)&lt;Inputs!$B$72,1,0)</f>
        <v/>
      </c>
      <c r="I225" s="16">
        <f>MAX(0,C225-E225-G225)</f>
        <v/>
      </c>
    </row>
    <row r="226">
      <c r="A226" t="n">
        <v>222</v>
      </c>
      <c r="B226" s="15">
        <f>CEILING(A226/12,1)</f>
        <v/>
      </c>
      <c r="C226" s="16">
        <f>I225</f>
        <v/>
      </c>
      <c r="D226" s="16">
        <f>IF(AND(C226&gt;0.01,A226&lt;=Inputs!$B$65),Inputs!$B$66,0)</f>
        <v/>
      </c>
      <c r="E226" s="16">
        <f>IF(D226=0,0,MIN(D226-F226,C226))</f>
        <v/>
      </c>
      <c r="F226" s="16">
        <f>IF(C226&gt;0.01,C226*Inputs!$B$64,0)</f>
        <v/>
      </c>
      <c r="G226" s="16">
        <f>IF(C226-E226&gt;0,MIN(Inputs!$B$20,C226-E226),0)</f>
        <v/>
      </c>
      <c r="H226" s="17">
        <f>IF(Inputs!$B$62+SUM(E$5:E226)+SUM(G$5:G225)&lt;Inputs!$B$72,1,0)</f>
        <v/>
      </c>
      <c r="I226" s="16">
        <f>MAX(0,C226-E226-G226)</f>
        <v/>
      </c>
    </row>
    <row r="227">
      <c r="A227" t="n">
        <v>223</v>
      </c>
      <c r="B227" s="15">
        <f>CEILING(A227/12,1)</f>
        <v/>
      </c>
      <c r="C227" s="16">
        <f>I226</f>
        <v/>
      </c>
      <c r="D227" s="16">
        <f>IF(AND(C227&gt;0.01,A227&lt;=Inputs!$B$65),Inputs!$B$66,0)</f>
        <v/>
      </c>
      <c r="E227" s="16">
        <f>IF(D227=0,0,MIN(D227-F227,C227))</f>
        <v/>
      </c>
      <c r="F227" s="16">
        <f>IF(C227&gt;0.01,C227*Inputs!$B$64,0)</f>
        <v/>
      </c>
      <c r="G227" s="16">
        <f>IF(C227-E227&gt;0,MIN(Inputs!$B$20,C227-E227),0)</f>
        <v/>
      </c>
      <c r="H227" s="17">
        <f>IF(Inputs!$B$62+SUM(E$5:E227)+SUM(G$5:G226)&lt;Inputs!$B$72,1,0)</f>
        <v/>
      </c>
      <c r="I227" s="16">
        <f>MAX(0,C227-E227-G227)</f>
        <v/>
      </c>
    </row>
    <row r="228">
      <c r="A228" t="n">
        <v>224</v>
      </c>
      <c r="B228" s="15">
        <f>CEILING(A228/12,1)</f>
        <v/>
      </c>
      <c r="C228" s="16">
        <f>I227</f>
        <v/>
      </c>
      <c r="D228" s="16">
        <f>IF(AND(C228&gt;0.01,A228&lt;=Inputs!$B$65),Inputs!$B$66,0)</f>
        <v/>
      </c>
      <c r="E228" s="16">
        <f>IF(D228=0,0,MIN(D228-F228,C228))</f>
        <v/>
      </c>
      <c r="F228" s="16">
        <f>IF(C228&gt;0.01,C228*Inputs!$B$64,0)</f>
        <v/>
      </c>
      <c r="G228" s="16">
        <f>IF(C228-E228&gt;0,MIN(Inputs!$B$20,C228-E228),0)</f>
        <v/>
      </c>
      <c r="H228" s="17">
        <f>IF(Inputs!$B$62+SUM(E$5:E228)+SUM(G$5:G227)&lt;Inputs!$B$72,1,0)</f>
        <v/>
      </c>
      <c r="I228" s="16">
        <f>MAX(0,C228-E228-G228)</f>
        <v/>
      </c>
    </row>
    <row r="229">
      <c r="A229" t="n">
        <v>225</v>
      </c>
      <c r="B229" s="15">
        <f>CEILING(A229/12,1)</f>
        <v/>
      </c>
      <c r="C229" s="16">
        <f>I228</f>
        <v/>
      </c>
      <c r="D229" s="16">
        <f>IF(AND(C229&gt;0.01,A229&lt;=Inputs!$B$65),Inputs!$B$66,0)</f>
        <v/>
      </c>
      <c r="E229" s="16">
        <f>IF(D229=0,0,MIN(D229-F229,C229))</f>
        <v/>
      </c>
      <c r="F229" s="16">
        <f>IF(C229&gt;0.01,C229*Inputs!$B$64,0)</f>
        <v/>
      </c>
      <c r="G229" s="16">
        <f>IF(C229-E229&gt;0,MIN(Inputs!$B$20,C229-E229),0)</f>
        <v/>
      </c>
      <c r="H229" s="17">
        <f>IF(Inputs!$B$62+SUM(E$5:E229)+SUM(G$5:G228)&lt;Inputs!$B$72,1,0)</f>
        <v/>
      </c>
      <c r="I229" s="16">
        <f>MAX(0,C229-E229-G229)</f>
        <v/>
      </c>
    </row>
    <row r="230">
      <c r="A230" t="n">
        <v>226</v>
      </c>
      <c r="B230" s="15">
        <f>CEILING(A230/12,1)</f>
        <v/>
      </c>
      <c r="C230" s="16">
        <f>I229</f>
        <v/>
      </c>
      <c r="D230" s="16">
        <f>IF(AND(C230&gt;0.01,A230&lt;=Inputs!$B$65),Inputs!$B$66,0)</f>
        <v/>
      </c>
      <c r="E230" s="16">
        <f>IF(D230=0,0,MIN(D230-F230,C230))</f>
        <v/>
      </c>
      <c r="F230" s="16">
        <f>IF(C230&gt;0.01,C230*Inputs!$B$64,0)</f>
        <v/>
      </c>
      <c r="G230" s="16">
        <f>IF(C230-E230&gt;0,MIN(Inputs!$B$20,C230-E230),0)</f>
        <v/>
      </c>
      <c r="H230" s="17">
        <f>IF(Inputs!$B$62+SUM(E$5:E230)+SUM(G$5:G229)&lt;Inputs!$B$72,1,0)</f>
        <v/>
      </c>
      <c r="I230" s="16">
        <f>MAX(0,C230-E230-G230)</f>
        <v/>
      </c>
    </row>
    <row r="231">
      <c r="A231" t="n">
        <v>227</v>
      </c>
      <c r="B231" s="15">
        <f>CEILING(A231/12,1)</f>
        <v/>
      </c>
      <c r="C231" s="16">
        <f>I230</f>
        <v/>
      </c>
      <c r="D231" s="16">
        <f>IF(AND(C231&gt;0.01,A231&lt;=Inputs!$B$65),Inputs!$B$66,0)</f>
        <v/>
      </c>
      <c r="E231" s="16">
        <f>IF(D231=0,0,MIN(D231-F231,C231))</f>
        <v/>
      </c>
      <c r="F231" s="16">
        <f>IF(C231&gt;0.01,C231*Inputs!$B$64,0)</f>
        <v/>
      </c>
      <c r="G231" s="16">
        <f>IF(C231-E231&gt;0,MIN(Inputs!$B$20,C231-E231),0)</f>
        <v/>
      </c>
      <c r="H231" s="17">
        <f>IF(Inputs!$B$62+SUM(E$5:E231)+SUM(G$5:G230)&lt;Inputs!$B$72,1,0)</f>
        <v/>
      </c>
      <c r="I231" s="16">
        <f>MAX(0,C231-E231-G231)</f>
        <v/>
      </c>
    </row>
    <row r="232">
      <c r="A232" t="n">
        <v>228</v>
      </c>
      <c r="B232" s="15">
        <f>CEILING(A232/12,1)</f>
        <v/>
      </c>
      <c r="C232" s="16">
        <f>I231</f>
        <v/>
      </c>
      <c r="D232" s="16">
        <f>IF(AND(C232&gt;0.01,A232&lt;=Inputs!$B$65),Inputs!$B$66,0)</f>
        <v/>
      </c>
      <c r="E232" s="16">
        <f>IF(D232=0,0,MIN(D232-F232,C232))</f>
        <v/>
      </c>
      <c r="F232" s="16">
        <f>IF(C232&gt;0.01,C232*Inputs!$B$64,0)</f>
        <v/>
      </c>
      <c r="G232" s="16">
        <f>IF(C232-E232&gt;0,MIN(Inputs!$B$20,C232-E232),0)</f>
        <v/>
      </c>
      <c r="H232" s="17">
        <f>IF(Inputs!$B$62+SUM(E$5:E232)+SUM(G$5:G231)&lt;Inputs!$B$72,1,0)</f>
        <v/>
      </c>
      <c r="I232" s="16">
        <f>MAX(0,C232-E232-G232)</f>
        <v/>
      </c>
    </row>
    <row r="233">
      <c r="A233" t="n">
        <v>229</v>
      </c>
      <c r="B233" s="15">
        <f>CEILING(A233/12,1)</f>
        <v/>
      </c>
      <c r="C233" s="16">
        <f>I232</f>
        <v/>
      </c>
      <c r="D233" s="16">
        <f>IF(AND(C233&gt;0.01,A233&lt;=Inputs!$B$65),Inputs!$B$66,0)</f>
        <v/>
      </c>
      <c r="E233" s="16">
        <f>IF(D233=0,0,MIN(D233-F233,C233))</f>
        <v/>
      </c>
      <c r="F233" s="16">
        <f>IF(C233&gt;0.01,C233*Inputs!$B$64,0)</f>
        <v/>
      </c>
      <c r="G233" s="16">
        <f>IF(C233-E233&gt;0,MIN(Inputs!$B$20,C233-E233),0)</f>
        <v/>
      </c>
      <c r="H233" s="17">
        <f>IF(Inputs!$B$62+SUM(E$5:E233)+SUM(G$5:G232)&lt;Inputs!$B$72,1,0)</f>
        <v/>
      </c>
      <c r="I233" s="16">
        <f>MAX(0,C233-E233-G233)</f>
        <v/>
      </c>
    </row>
    <row r="234">
      <c r="A234" t="n">
        <v>230</v>
      </c>
      <c r="B234" s="15">
        <f>CEILING(A234/12,1)</f>
        <v/>
      </c>
      <c r="C234" s="16">
        <f>I233</f>
        <v/>
      </c>
      <c r="D234" s="16">
        <f>IF(AND(C234&gt;0.01,A234&lt;=Inputs!$B$65),Inputs!$B$66,0)</f>
        <v/>
      </c>
      <c r="E234" s="16">
        <f>IF(D234=0,0,MIN(D234-F234,C234))</f>
        <v/>
      </c>
      <c r="F234" s="16">
        <f>IF(C234&gt;0.01,C234*Inputs!$B$64,0)</f>
        <v/>
      </c>
      <c r="G234" s="16">
        <f>IF(C234-E234&gt;0,MIN(Inputs!$B$20,C234-E234),0)</f>
        <v/>
      </c>
      <c r="H234" s="17">
        <f>IF(Inputs!$B$62+SUM(E$5:E234)+SUM(G$5:G233)&lt;Inputs!$B$72,1,0)</f>
        <v/>
      </c>
      <c r="I234" s="16">
        <f>MAX(0,C234-E234-G234)</f>
        <v/>
      </c>
    </row>
    <row r="235">
      <c r="A235" t="n">
        <v>231</v>
      </c>
      <c r="B235" s="15">
        <f>CEILING(A235/12,1)</f>
        <v/>
      </c>
      <c r="C235" s="16">
        <f>I234</f>
        <v/>
      </c>
      <c r="D235" s="16">
        <f>IF(AND(C235&gt;0.01,A235&lt;=Inputs!$B$65),Inputs!$B$66,0)</f>
        <v/>
      </c>
      <c r="E235" s="16">
        <f>IF(D235=0,0,MIN(D235-F235,C235))</f>
        <v/>
      </c>
      <c r="F235" s="16">
        <f>IF(C235&gt;0.01,C235*Inputs!$B$64,0)</f>
        <v/>
      </c>
      <c r="G235" s="16">
        <f>IF(C235-E235&gt;0,MIN(Inputs!$B$20,C235-E235),0)</f>
        <v/>
      </c>
      <c r="H235" s="17">
        <f>IF(Inputs!$B$62+SUM(E$5:E235)+SUM(G$5:G234)&lt;Inputs!$B$72,1,0)</f>
        <v/>
      </c>
      <c r="I235" s="16">
        <f>MAX(0,C235-E235-G235)</f>
        <v/>
      </c>
    </row>
    <row r="236">
      <c r="A236" t="n">
        <v>232</v>
      </c>
      <c r="B236" s="15">
        <f>CEILING(A236/12,1)</f>
        <v/>
      </c>
      <c r="C236" s="16">
        <f>I235</f>
        <v/>
      </c>
      <c r="D236" s="16">
        <f>IF(AND(C236&gt;0.01,A236&lt;=Inputs!$B$65),Inputs!$B$66,0)</f>
        <v/>
      </c>
      <c r="E236" s="16">
        <f>IF(D236=0,0,MIN(D236-F236,C236))</f>
        <v/>
      </c>
      <c r="F236" s="16">
        <f>IF(C236&gt;0.01,C236*Inputs!$B$64,0)</f>
        <v/>
      </c>
      <c r="G236" s="16">
        <f>IF(C236-E236&gt;0,MIN(Inputs!$B$20,C236-E236),0)</f>
        <v/>
      </c>
      <c r="H236" s="17">
        <f>IF(Inputs!$B$62+SUM(E$5:E236)+SUM(G$5:G235)&lt;Inputs!$B$72,1,0)</f>
        <v/>
      </c>
      <c r="I236" s="16">
        <f>MAX(0,C236-E236-G236)</f>
        <v/>
      </c>
    </row>
    <row r="237">
      <c r="A237" t="n">
        <v>233</v>
      </c>
      <c r="B237" s="15">
        <f>CEILING(A237/12,1)</f>
        <v/>
      </c>
      <c r="C237" s="16">
        <f>I236</f>
        <v/>
      </c>
      <c r="D237" s="16">
        <f>IF(AND(C237&gt;0.01,A237&lt;=Inputs!$B$65),Inputs!$B$66,0)</f>
        <v/>
      </c>
      <c r="E237" s="16">
        <f>IF(D237=0,0,MIN(D237-F237,C237))</f>
        <v/>
      </c>
      <c r="F237" s="16">
        <f>IF(C237&gt;0.01,C237*Inputs!$B$64,0)</f>
        <v/>
      </c>
      <c r="G237" s="16">
        <f>IF(C237-E237&gt;0,MIN(Inputs!$B$20,C237-E237),0)</f>
        <v/>
      </c>
      <c r="H237" s="17">
        <f>IF(Inputs!$B$62+SUM(E$5:E237)+SUM(G$5:G236)&lt;Inputs!$B$72,1,0)</f>
        <v/>
      </c>
      <c r="I237" s="16">
        <f>MAX(0,C237-E237-G237)</f>
        <v/>
      </c>
    </row>
    <row r="238">
      <c r="A238" t="n">
        <v>234</v>
      </c>
      <c r="B238" s="15">
        <f>CEILING(A238/12,1)</f>
        <v/>
      </c>
      <c r="C238" s="16">
        <f>I237</f>
        <v/>
      </c>
      <c r="D238" s="16">
        <f>IF(AND(C238&gt;0.01,A238&lt;=Inputs!$B$65),Inputs!$B$66,0)</f>
        <v/>
      </c>
      <c r="E238" s="16">
        <f>IF(D238=0,0,MIN(D238-F238,C238))</f>
        <v/>
      </c>
      <c r="F238" s="16">
        <f>IF(C238&gt;0.01,C238*Inputs!$B$64,0)</f>
        <v/>
      </c>
      <c r="G238" s="16">
        <f>IF(C238-E238&gt;0,MIN(Inputs!$B$20,C238-E238),0)</f>
        <v/>
      </c>
      <c r="H238" s="17">
        <f>IF(Inputs!$B$62+SUM(E$5:E238)+SUM(G$5:G237)&lt;Inputs!$B$72,1,0)</f>
        <v/>
      </c>
      <c r="I238" s="16">
        <f>MAX(0,C238-E238-G238)</f>
        <v/>
      </c>
    </row>
    <row r="239">
      <c r="A239" t="n">
        <v>235</v>
      </c>
      <c r="B239" s="15">
        <f>CEILING(A239/12,1)</f>
        <v/>
      </c>
      <c r="C239" s="16">
        <f>I238</f>
        <v/>
      </c>
      <c r="D239" s="16">
        <f>IF(AND(C239&gt;0.01,A239&lt;=Inputs!$B$65),Inputs!$B$66,0)</f>
        <v/>
      </c>
      <c r="E239" s="16">
        <f>IF(D239=0,0,MIN(D239-F239,C239))</f>
        <v/>
      </c>
      <c r="F239" s="16">
        <f>IF(C239&gt;0.01,C239*Inputs!$B$64,0)</f>
        <v/>
      </c>
      <c r="G239" s="16">
        <f>IF(C239-E239&gt;0,MIN(Inputs!$B$20,C239-E239),0)</f>
        <v/>
      </c>
      <c r="H239" s="17">
        <f>IF(Inputs!$B$62+SUM(E$5:E239)+SUM(G$5:G238)&lt;Inputs!$B$72,1,0)</f>
        <v/>
      </c>
      <c r="I239" s="16">
        <f>MAX(0,C239-E239-G239)</f>
        <v/>
      </c>
    </row>
    <row r="240">
      <c r="A240" t="n">
        <v>236</v>
      </c>
      <c r="B240" s="15">
        <f>CEILING(A240/12,1)</f>
        <v/>
      </c>
      <c r="C240" s="16">
        <f>I239</f>
        <v/>
      </c>
      <c r="D240" s="16">
        <f>IF(AND(C240&gt;0.01,A240&lt;=Inputs!$B$65),Inputs!$B$66,0)</f>
        <v/>
      </c>
      <c r="E240" s="16">
        <f>IF(D240=0,0,MIN(D240-F240,C240))</f>
        <v/>
      </c>
      <c r="F240" s="16">
        <f>IF(C240&gt;0.01,C240*Inputs!$B$64,0)</f>
        <v/>
      </c>
      <c r="G240" s="16">
        <f>IF(C240-E240&gt;0,MIN(Inputs!$B$20,C240-E240),0)</f>
        <v/>
      </c>
      <c r="H240" s="17">
        <f>IF(Inputs!$B$62+SUM(E$5:E240)+SUM(G$5:G239)&lt;Inputs!$B$72,1,0)</f>
        <v/>
      </c>
      <c r="I240" s="16">
        <f>MAX(0,C240-E240-G240)</f>
        <v/>
      </c>
    </row>
    <row r="241">
      <c r="A241" t="n">
        <v>237</v>
      </c>
      <c r="B241" s="15">
        <f>CEILING(A241/12,1)</f>
        <v/>
      </c>
      <c r="C241" s="16">
        <f>I240</f>
        <v/>
      </c>
      <c r="D241" s="16">
        <f>IF(AND(C241&gt;0.01,A241&lt;=Inputs!$B$65),Inputs!$B$66,0)</f>
        <v/>
      </c>
      <c r="E241" s="16">
        <f>IF(D241=0,0,MIN(D241-F241,C241))</f>
        <v/>
      </c>
      <c r="F241" s="16">
        <f>IF(C241&gt;0.01,C241*Inputs!$B$64,0)</f>
        <v/>
      </c>
      <c r="G241" s="16">
        <f>IF(C241-E241&gt;0,MIN(Inputs!$B$20,C241-E241),0)</f>
        <v/>
      </c>
      <c r="H241" s="17">
        <f>IF(Inputs!$B$62+SUM(E$5:E241)+SUM(G$5:G240)&lt;Inputs!$B$72,1,0)</f>
        <v/>
      </c>
      <c r="I241" s="16">
        <f>MAX(0,C241-E241-G241)</f>
        <v/>
      </c>
    </row>
    <row r="242">
      <c r="A242" t="n">
        <v>238</v>
      </c>
      <c r="B242" s="15">
        <f>CEILING(A242/12,1)</f>
        <v/>
      </c>
      <c r="C242" s="16">
        <f>I241</f>
        <v/>
      </c>
      <c r="D242" s="16">
        <f>IF(AND(C242&gt;0.01,A242&lt;=Inputs!$B$65),Inputs!$B$66,0)</f>
        <v/>
      </c>
      <c r="E242" s="16">
        <f>IF(D242=0,0,MIN(D242-F242,C242))</f>
        <v/>
      </c>
      <c r="F242" s="16">
        <f>IF(C242&gt;0.01,C242*Inputs!$B$64,0)</f>
        <v/>
      </c>
      <c r="G242" s="16">
        <f>IF(C242-E242&gt;0,MIN(Inputs!$B$20,C242-E242),0)</f>
        <v/>
      </c>
      <c r="H242" s="17">
        <f>IF(Inputs!$B$62+SUM(E$5:E242)+SUM(G$5:G241)&lt;Inputs!$B$72,1,0)</f>
        <v/>
      </c>
      <c r="I242" s="16">
        <f>MAX(0,C242-E242-G242)</f>
        <v/>
      </c>
    </row>
    <row r="243">
      <c r="A243" t="n">
        <v>239</v>
      </c>
      <c r="B243" s="15">
        <f>CEILING(A243/12,1)</f>
        <v/>
      </c>
      <c r="C243" s="16">
        <f>I242</f>
        <v/>
      </c>
      <c r="D243" s="16">
        <f>IF(AND(C243&gt;0.01,A243&lt;=Inputs!$B$65),Inputs!$B$66,0)</f>
        <v/>
      </c>
      <c r="E243" s="16">
        <f>IF(D243=0,0,MIN(D243-F243,C243))</f>
        <v/>
      </c>
      <c r="F243" s="16">
        <f>IF(C243&gt;0.01,C243*Inputs!$B$64,0)</f>
        <v/>
      </c>
      <c r="G243" s="16">
        <f>IF(C243-E243&gt;0,MIN(Inputs!$B$20,C243-E243),0)</f>
        <v/>
      </c>
      <c r="H243" s="17">
        <f>IF(Inputs!$B$62+SUM(E$5:E243)+SUM(G$5:G242)&lt;Inputs!$B$72,1,0)</f>
        <v/>
      </c>
      <c r="I243" s="16">
        <f>MAX(0,C243-E243-G243)</f>
        <v/>
      </c>
    </row>
    <row r="244">
      <c r="A244" t="n">
        <v>240</v>
      </c>
      <c r="B244" s="15">
        <f>CEILING(A244/12,1)</f>
        <v/>
      </c>
      <c r="C244" s="16">
        <f>I243</f>
        <v/>
      </c>
      <c r="D244" s="16">
        <f>IF(AND(C244&gt;0.01,A244&lt;=Inputs!$B$65),Inputs!$B$66,0)</f>
        <v/>
      </c>
      <c r="E244" s="16">
        <f>IF(D244=0,0,MIN(D244-F244,C244))</f>
        <v/>
      </c>
      <c r="F244" s="16">
        <f>IF(C244&gt;0.01,C244*Inputs!$B$64,0)</f>
        <v/>
      </c>
      <c r="G244" s="16">
        <f>IF(C244-E244&gt;0,MIN(Inputs!$B$20,C244-E244),0)</f>
        <v/>
      </c>
      <c r="H244" s="17">
        <f>IF(Inputs!$B$62+SUM(E$5:E244)+SUM(G$5:G243)&lt;Inputs!$B$72,1,0)</f>
        <v/>
      </c>
      <c r="I244" s="16">
        <f>MAX(0,C244-E244-G244)</f>
        <v/>
      </c>
    </row>
    <row r="245">
      <c r="A245" t="n">
        <v>241</v>
      </c>
      <c r="B245" s="15">
        <f>CEILING(A245/12,1)</f>
        <v/>
      </c>
      <c r="C245" s="16">
        <f>I244</f>
        <v/>
      </c>
      <c r="D245" s="16">
        <f>IF(AND(C245&gt;0.01,A245&lt;=Inputs!$B$65),Inputs!$B$66,0)</f>
        <v/>
      </c>
      <c r="E245" s="16">
        <f>IF(D245=0,0,MIN(D245-F245,C245))</f>
        <v/>
      </c>
      <c r="F245" s="16">
        <f>IF(C245&gt;0.01,C245*Inputs!$B$64,0)</f>
        <v/>
      </c>
      <c r="G245" s="16">
        <f>IF(C245-E245&gt;0,MIN(Inputs!$B$20,C245-E245),0)</f>
        <v/>
      </c>
      <c r="H245" s="17">
        <f>IF(Inputs!$B$62+SUM(E$5:E245)+SUM(G$5:G244)&lt;Inputs!$B$72,1,0)</f>
        <v/>
      </c>
      <c r="I245" s="16">
        <f>MAX(0,C245-E245-G245)</f>
        <v/>
      </c>
    </row>
    <row r="246">
      <c r="A246" t="n">
        <v>242</v>
      </c>
      <c r="B246" s="15">
        <f>CEILING(A246/12,1)</f>
        <v/>
      </c>
      <c r="C246" s="16">
        <f>I245</f>
        <v/>
      </c>
      <c r="D246" s="16">
        <f>IF(AND(C246&gt;0.01,A246&lt;=Inputs!$B$65),Inputs!$B$66,0)</f>
        <v/>
      </c>
      <c r="E246" s="16">
        <f>IF(D246=0,0,MIN(D246-F246,C246))</f>
        <v/>
      </c>
      <c r="F246" s="16">
        <f>IF(C246&gt;0.01,C246*Inputs!$B$64,0)</f>
        <v/>
      </c>
      <c r="G246" s="16">
        <f>IF(C246-E246&gt;0,MIN(Inputs!$B$20,C246-E246),0)</f>
        <v/>
      </c>
      <c r="H246" s="17">
        <f>IF(Inputs!$B$62+SUM(E$5:E246)+SUM(G$5:G245)&lt;Inputs!$B$72,1,0)</f>
        <v/>
      </c>
      <c r="I246" s="16">
        <f>MAX(0,C246-E246-G246)</f>
        <v/>
      </c>
    </row>
    <row r="247">
      <c r="A247" t="n">
        <v>243</v>
      </c>
      <c r="B247" s="15">
        <f>CEILING(A247/12,1)</f>
        <v/>
      </c>
      <c r="C247" s="16">
        <f>I246</f>
        <v/>
      </c>
      <c r="D247" s="16">
        <f>IF(AND(C247&gt;0.01,A247&lt;=Inputs!$B$65),Inputs!$B$66,0)</f>
        <v/>
      </c>
      <c r="E247" s="16">
        <f>IF(D247=0,0,MIN(D247-F247,C247))</f>
        <v/>
      </c>
      <c r="F247" s="16">
        <f>IF(C247&gt;0.01,C247*Inputs!$B$64,0)</f>
        <v/>
      </c>
      <c r="G247" s="16">
        <f>IF(C247-E247&gt;0,MIN(Inputs!$B$20,C247-E247),0)</f>
        <v/>
      </c>
      <c r="H247" s="17">
        <f>IF(Inputs!$B$62+SUM(E$5:E247)+SUM(G$5:G246)&lt;Inputs!$B$72,1,0)</f>
        <v/>
      </c>
      <c r="I247" s="16">
        <f>MAX(0,C247-E247-G247)</f>
        <v/>
      </c>
    </row>
    <row r="248">
      <c r="A248" t="n">
        <v>244</v>
      </c>
      <c r="B248" s="15">
        <f>CEILING(A248/12,1)</f>
        <v/>
      </c>
      <c r="C248" s="16">
        <f>I247</f>
        <v/>
      </c>
      <c r="D248" s="16">
        <f>IF(AND(C248&gt;0.01,A248&lt;=Inputs!$B$65),Inputs!$B$66,0)</f>
        <v/>
      </c>
      <c r="E248" s="16">
        <f>IF(D248=0,0,MIN(D248-F248,C248))</f>
        <v/>
      </c>
      <c r="F248" s="16">
        <f>IF(C248&gt;0.01,C248*Inputs!$B$64,0)</f>
        <v/>
      </c>
      <c r="G248" s="16">
        <f>IF(C248-E248&gt;0,MIN(Inputs!$B$20,C248-E248),0)</f>
        <v/>
      </c>
      <c r="H248" s="17">
        <f>IF(Inputs!$B$62+SUM(E$5:E248)+SUM(G$5:G247)&lt;Inputs!$B$72,1,0)</f>
        <v/>
      </c>
      <c r="I248" s="16">
        <f>MAX(0,C248-E248-G248)</f>
        <v/>
      </c>
    </row>
    <row r="249">
      <c r="A249" t="n">
        <v>245</v>
      </c>
      <c r="B249" s="15">
        <f>CEILING(A249/12,1)</f>
        <v/>
      </c>
      <c r="C249" s="16">
        <f>I248</f>
        <v/>
      </c>
      <c r="D249" s="16">
        <f>IF(AND(C249&gt;0.01,A249&lt;=Inputs!$B$65),Inputs!$B$66,0)</f>
        <v/>
      </c>
      <c r="E249" s="16">
        <f>IF(D249=0,0,MIN(D249-F249,C249))</f>
        <v/>
      </c>
      <c r="F249" s="16">
        <f>IF(C249&gt;0.01,C249*Inputs!$B$64,0)</f>
        <v/>
      </c>
      <c r="G249" s="16">
        <f>IF(C249-E249&gt;0,MIN(Inputs!$B$20,C249-E249),0)</f>
        <v/>
      </c>
      <c r="H249" s="17">
        <f>IF(Inputs!$B$62+SUM(E$5:E249)+SUM(G$5:G248)&lt;Inputs!$B$72,1,0)</f>
        <v/>
      </c>
      <c r="I249" s="16">
        <f>MAX(0,C249-E249-G249)</f>
        <v/>
      </c>
    </row>
    <row r="250">
      <c r="A250" t="n">
        <v>246</v>
      </c>
      <c r="B250" s="15">
        <f>CEILING(A250/12,1)</f>
        <v/>
      </c>
      <c r="C250" s="16">
        <f>I249</f>
        <v/>
      </c>
      <c r="D250" s="16">
        <f>IF(AND(C250&gt;0.01,A250&lt;=Inputs!$B$65),Inputs!$B$66,0)</f>
        <v/>
      </c>
      <c r="E250" s="16">
        <f>IF(D250=0,0,MIN(D250-F250,C250))</f>
        <v/>
      </c>
      <c r="F250" s="16">
        <f>IF(C250&gt;0.01,C250*Inputs!$B$64,0)</f>
        <v/>
      </c>
      <c r="G250" s="16">
        <f>IF(C250-E250&gt;0,MIN(Inputs!$B$20,C250-E250),0)</f>
        <v/>
      </c>
      <c r="H250" s="17">
        <f>IF(Inputs!$B$62+SUM(E$5:E250)+SUM(G$5:G249)&lt;Inputs!$B$72,1,0)</f>
        <v/>
      </c>
      <c r="I250" s="16">
        <f>MAX(0,C250-E250-G250)</f>
        <v/>
      </c>
    </row>
    <row r="251">
      <c r="A251" t="n">
        <v>247</v>
      </c>
      <c r="B251" s="15">
        <f>CEILING(A251/12,1)</f>
        <v/>
      </c>
      <c r="C251" s="16">
        <f>I250</f>
        <v/>
      </c>
      <c r="D251" s="16">
        <f>IF(AND(C251&gt;0.01,A251&lt;=Inputs!$B$65),Inputs!$B$66,0)</f>
        <v/>
      </c>
      <c r="E251" s="16">
        <f>IF(D251=0,0,MIN(D251-F251,C251))</f>
        <v/>
      </c>
      <c r="F251" s="16">
        <f>IF(C251&gt;0.01,C251*Inputs!$B$64,0)</f>
        <v/>
      </c>
      <c r="G251" s="16">
        <f>IF(C251-E251&gt;0,MIN(Inputs!$B$20,C251-E251),0)</f>
        <v/>
      </c>
      <c r="H251" s="17">
        <f>IF(Inputs!$B$62+SUM(E$5:E251)+SUM(G$5:G250)&lt;Inputs!$B$72,1,0)</f>
        <v/>
      </c>
      <c r="I251" s="16">
        <f>MAX(0,C251-E251-G251)</f>
        <v/>
      </c>
    </row>
    <row r="252">
      <c r="A252" t="n">
        <v>248</v>
      </c>
      <c r="B252" s="15">
        <f>CEILING(A252/12,1)</f>
        <v/>
      </c>
      <c r="C252" s="16">
        <f>I251</f>
        <v/>
      </c>
      <c r="D252" s="16">
        <f>IF(AND(C252&gt;0.01,A252&lt;=Inputs!$B$65),Inputs!$B$66,0)</f>
        <v/>
      </c>
      <c r="E252" s="16">
        <f>IF(D252=0,0,MIN(D252-F252,C252))</f>
        <v/>
      </c>
      <c r="F252" s="16">
        <f>IF(C252&gt;0.01,C252*Inputs!$B$64,0)</f>
        <v/>
      </c>
      <c r="G252" s="16">
        <f>IF(C252-E252&gt;0,MIN(Inputs!$B$20,C252-E252),0)</f>
        <v/>
      </c>
      <c r="H252" s="17">
        <f>IF(Inputs!$B$62+SUM(E$5:E252)+SUM(G$5:G251)&lt;Inputs!$B$72,1,0)</f>
        <v/>
      </c>
      <c r="I252" s="16">
        <f>MAX(0,C252-E252-G252)</f>
        <v/>
      </c>
    </row>
    <row r="253">
      <c r="A253" t="n">
        <v>249</v>
      </c>
      <c r="B253" s="15">
        <f>CEILING(A253/12,1)</f>
        <v/>
      </c>
      <c r="C253" s="16">
        <f>I252</f>
        <v/>
      </c>
      <c r="D253" s="16">
        <f>IF(AND(C253&gt;0.01,A253&lt;=Inputs!$B$65),Inputs!$B$66,0)</f>
        <v/>
      </c>
      <c r="E253" s="16">
        <f>IF(D253=0,0,MIN(D253-F253,C253))</f>
        <v/>
      </c>
      <c r="F253" s="16">
        <f>IF(C253&gt;0.01,C253*Inputs!$B$64,0)</f>
        <v/>
      </c>
      <c r="G253" s="16">
        <f>IF(C253-E253&gt;0,MIN(Inputs!$B$20,C253-E253),0)</f>
        <v/>
      </c>
      <c r="H253" s="17">
        <f>IF(Inputs!$B$62+SUM(E$5:E253)+SUM(G$5:G252)&lt;Inputs!$B$72,1,0)</f>
        <v/>
      </c>
      <c r="I253" s="16">
        <f>MAX(0,C253-E253-G253)</f>
        <v/>
      </c>
    </row>
    <row r="254">
      <c r="A254" t="n">
        <v>250</v>
      </c>
      <c r="B254" s="15">
        <f>CEILING(A254/12,1)</f>
        <v/>
      </c>
      <c r="C254" s="16">
        <f>I253</f>
        <v/>
      </c>
      <c r="D254" s="16">
        <f>IF(AND(C254&gt;0.01,A254&lt;=Inputs!$B$65),Inputs!$B$66,0)</f>
        <v/>
      </c>
      <c r="E254" s="16">
        <f>IF(D254=0,0,MIN(D254-F254,C254))</f>
        <v/>
      </c>
      <c r="F254" s="16">
        <f>IF(C254&gt;0.01,C254*Inputs!$B$64,0)</f>
        <v/>
      </c>
      <c r="G254" s="16">
        <f>IF(C254-E254&gt;0,MIN(Inputs!$B$20,C254-E254),0)</f>
        <v/>
      </c>
      <c r="H254" s="17">
        <f>IF(Inputs!$B$62+SUM(E$5:E254)+SUM(G$5:G253)&lt;Inputs!$B$72,1,0)</f>
        <v/>
      </c>
      <c r="I254" s="16">
        <f>MAX(0,C254-E254-G254)</f>
        <v/>
      </c>
    </row>
    <row r="255">
      <c r="A255" t="n">
        <v>251</v>
      </c>
      <c r="B255" s="15">
        <f>CEILING(A255/12,1)</f>
        <v/>
      </c>
      <c r="C255" s="16">
        <f>I254</f>
        <v/>
      </c>
      <c r="D255" s="16">
        <f>IF(AND(C255&gt;0.01,A255&lt;=Inputs!$B$65),Inputs!$B$66,0)</f>
        <v/>
      </c>
      <c r="E255" s="16">
        <f>IF(D255=0,0,MIN(D255-F255,C255))</f>
        <v/>
      </c>
      <c r="F255" s="16">
        <f>IF(C255&gt;0.01,C255*Inputs!$B$64,0)</f>
        <v/>
      </c>
      <c r="G255" s="16">
        <f>IF(C255-E255&gt;0,MIN(Inputs!$B$20,C255-E255),0)</f>
        <v/>
      </c>
      <c r="H255" s="17">
        <f>IF(Inputs!$B$62+SUM(E$5:E255)+SUM(G$5:G254)&lt;Inputs!$B$72,1,0)</f>
        <v/>
      </c>
      <c r="I255" s="16">
        <f>MAX(0,C255-E255-G255)</f>
        <v/>
      </c>
    </row>
    <row r="256">
      <c r="A256" t="n">
        <v>252</v>
      </c>
      <c r="B256" s="15">
        <f>CEILING(A256/12,1)</f>
        <v/>
      </c>
      <c r="C256" s="16">
        <f>I255</f>
        <v/>
      </c>
      <c r="D256" s="16">
        <f>IF(AND(C256&gt;0.01,A256&lt;=Inputs!$B$65),Inputs!$B$66,0)</f>
        <v/>
      </c>
      <c r="E256" s="16">
        <f>IF(D256=0,0,MIN(D256-F256,C256))</f>
        <v/>
      </c>
      <c r="F256" s="16">
        <f>IF(C256&gt;0.01,C256*Inputs!$B$64,0)</f>
        <v/>
      </c>
      <c r="G256" s="16">
        <f>IF(C256-E256&gt;0,MIN(Inputs!$B$20,C256-E256),0)</f>
        <v/>
      </c>
      <c r="H256" s="17">
        <f>IF(Inputs!$B$62+SUM(E$5:E256)+SUM(G$5:G255)&lt;Inputs!$B$72,1,0)</f>
        <v/>
      </c>
      <c r="I256" s="16">
        <f>MAX(0,C256-E256-G256)</f>
        <v/>
      </c>
    </row>
    <row r="257">
      <c r="A257" t="n">
        <v>253</v>
      </c>
      <c r="B257" s="15">
        <f>CEILING(A257/12,1)</f>
        <v/>
      </c>
      <c r="C257" s="16">
        <f>I256</f>
        <v/>
      </c>
      <c r="D257" s="16">
        <f>IF(AND(C257&gt;0.01,A257&lt;=Inputs!$B$65),Inputs!$B$66,0)</f>
        <v/>
      </c>
      <c r="E257" s="16">
        <f>IF(D257=0,0,MIN(D257-F257,C257))</f>
        <v/>
      </c>
      <c r="F257" s="16">
        <f>IF(C257&gt;0.01,C257*Inputs!$B$64,0)</f>
        <v/>
      </c>
      <c r="G257" s="16">
        <f>IF(C257-E257&gt;0,MIN(Inputs!$B$20,C257-E257),0)</f>
        <v/>
      </c>
      <c r="H257" s="17">
        <f>IF(Inputs!$B$62+SUM(E$5:E257)+SUM(G$5:G256)&lt;Inputs!$B$72,1,0)</f>
        <v/>
      </c>
      <c r="I257" s="16">
        <f>MAX(0,C257-E257-G257)</f>
        <v/>
      </c>
    </row>
    <row r="258">
      <c r="A258" t="n">
        <v>254</v>
      </c>
      <c r="B258" s="15">
        <f>CEILING(A258/12,1)</f>
        <v/>
      </c>
      <c r="C258" s="16">
        <f>I257</f>
        <v/>
      </c>
      <c r="D258" s="16">
        <f>IF(AND(C258&gt;0.01,A258&lt;=Inputs!$B$65),Inputs!$B$66,0)</f>
        <v/>
      </c>
      <c r="E258" s="16">
        <f>IF(D258=0,0,MIN(D258-F258,C258))</f>
        <v/>
      </c>
      <c r="F258" s="16">
        <f>IF(C258&gt;0.01,C258*Inputs!$B$64,0)</f>
        <v/>
      </c>
      <c r="G258" s="16">
        <f>IF(C258-E258&gt;0,MIN(Inputs!$B$20,C258-E258),0)</f>
        <v/>
      </c>
      <c r="H258" s="17">
        <f>IF(Inputs!$B$62+SUM(E$5:E258)+SUM(G$5:G257)&lt;Inputs!$B$72,1,0)</f>
        <v/>
      </c>
      <c r="I258" s="16">
        <f>MAX(0,C258-E258-G258)</f>
        <v/>
      </c>
    </row>
    <row r="259">
      <c r="A259" t="n">
        <v>255</v>
      </c>
      <c r="B259" s="15">
        <f>CEILING(A259/12,1)</f>
        <v/>
      </c>
      <c r="C259" s="16">
        <f>I258</f>
        <v/>
      </c>
      <c r="D259" s="16">
        <f>IF(AND(C259&gt;0.01,A259&lt;=Inputs!$B$65),Inputs!$B$66,0)</f>
        <v/>
      </c>
      <c r="E259" s="16">
        <f>IF(D259=0,0,MIN(D259-F259,C259))</f>
        <v/>
      </c>
      <c r="F259" s="16">
        <f>IF(C259&gt;0.01,C259*Inputs!$B$64,0)</f>
        <v/>
      </c>
      <c r="G259" s="16">
        <f>IF(C259-E259&gt;0,MIN(Inputs!$B$20,C259-E259),0)</f>
        <v/>
      </c>
      <c r="H259" s="17">
        <f>IF(Inputs!$B$62+SUM(E$5:E259)+SUM(G$5:G258)&lt;Inputs!$B$72,1,0)</f>
        <v/>
      </c>
      <c r="I259" s="16">
        <f>MAX(0,C259-E259-G259)</f>
        <v/>
      </c>
    </row>
    <row r="260">
      <c r="A260" t="n">
        <v>256</v>
      </c>
      <c r="B260" s="15">
        <f>CEILING(A260/12,1)</f>
        <v/>
      </c>
      <c r="C260" s="16">
        <f>I259</f>
        <v/>
      </c>
      <c r="D260" s="16">
        <f>IF(AND(C260&gt;0.01,A260&lt;=Inputs!$B$65),Inputs!$B$66,0)</f>
        <v/>
      </c>
      <c r="E260" s="16">
        <f>IF(D260=0,0,MIN(D260-F260,C260))</f>
        <v/>
      </c>
      <c r="F260" s="16">
        <f>IF(C260&gt;0.01,C260*Inputs!$B$64,0)</f>
        <v/>
      </c>
      <c r="G260" s="16">
        <f>IF(C260-E260&gt;0,MIN(Inputs!$B$20,C260-E260),0)</f>
        <v/>
      </c>
      <c r="H260" s="17">
        <f>IF(Inputs!$B$62+SUM(E$5:E260)+SUM(G$5:G259)&lt;Inputs!$B$72,1,0)</f>
        <v/>
      </c>
      <c r="I260" s="16">
        <f>MAX(0,C260-E260-G260)</f>
        <v/>
      </c>
    </row>
    <row r="261">
      <c r="A261" t="n">
        <v>257</v>
      </c>
      <c r="B261" s="15">
        <f>CEILING(A261/12,1)</f>
        <v/>
      </c>
      <c r="C261" s="16">
        <f>I260</f>
        <v/>
      </c>
      <c r="D261" s="16">
        <f>IF(AND(C261&gt;0.01,A261&lt;=Inputs!$B$65),Inputs!$B$66,0)</f>
        <v/>
      </c>
      <c r="E261" s="16">
        <f>IF(D261=0,0,MIN(D261-F261,C261))</f>
        <v/>
      </c>
      <c r="F261" s="16">
        <f>IF(C261&gt;0.01,C261*Inputs!$B$64,0)</f>
        <v/>
      </c>
      <c r="G261" s="16">
        <f>IF(C261-E261&gt;0,MIN(Inputs!$B$20,C261-E261),0)</f>
        <v/>
      </c>
      <c r="H261" s="17">
        <f>IF(Inputs!$B$62+SUM(E$5:E261)+SUM(G$5:G260)&lt;Inputs!$B$72,1,0)</f>
        <v/>
      </c>
      <c r="I261" s="16">
        <f>MAX(0,C261-E261-G261)</f>
        <v/>
      </c>
    </row>
    <row r="262">
      <c r="A262" t="n">
        <v>258</v>
      </c>
      <c r="B262" s="15">
        <f>CEILING(A262/12,1)</f>
        <v/>
      </c>
      <c r="C262" s="16">
        <f>I261</f>
        <v/>
      </c>
      <c r="D262" s="16">
        <f>IF(AND(C262&gt;0.01,A262&lt;=Inputs!$B$65),Inputs!$B$66,0)</f>
        <v/>
      </c>
      <c r="E262" s="16">
        <f>IF(D262=0,0,MIN(D262-F262,C262))</f>
        <v/>
      </c>
      <c r="F262" s="16">
        <f>IF(C262&gt;0.01,C262*Inputs!$B$64,0)</f>
        <v/>
      </c>
      <c r="G262" s="16">
        <f>IF(C262-E262&gt;0,MIN(Inputs!$B$20,C262-E262),0)</f>
        <v/>
      </c>
      <c r="H262" s="17">
        <f>IF(Inputs!$B$62+SUM(E$5:E262)+SUM(G$5:G261)&lt;Inputs!$B$72,1,0)</f>
        <v/>
      </c>
      <c r="I262" s="16">
        <f>MAX(0,C262-E262-G262)</f>
        <v/>
      </c>
    </row>
    <row r="263">
      <c r="A263" t="n">
        <v>259</v>
      </c>
      <c r="B263" s="15">
        <f>CEILING(A263/12,1)</f>
        <v/>
      </c>
      <c r="C263" s="16">
        <f>I262</f>
        <v/>
      </c>
      <c r="D263" s="16">
        <f>IF(AND(C263&gt;0.01,A263&lt;=Inputs!$B$65),Inputs!$B$66,0)</f>
        <v/>
      </c>
      <c r="E263" s="16">
        <f>IF(D263=0,0,MIN(D263-F263,C263))</f>
        <v/>
      </c>
      <c r="F263" s="16">
        <f>IF(C263&gt;0.01,C263*Inputs!$B$64,0)</f>
        <v/>
      </c>
      <c r="G263" s="16">
        <f>IF(C263-E263&gt;0,MIN(Inputs!$B$20,C263-E263),0)</f>
        <v/>
      </c>
      <c r="H263" s="17">
        <f>IF(Inputs!$B$62+SUM(E$5:E263)+SUM(G$5:G262)&lt;Inputs!$B$72,1,0)</f>
        <v/>
      </c>
      <c r="I263" s="16">
        <f>MAX(0,C263-E263-G263)</f>
        <v/>
      </c>
    </row>
    <row r="264">
      <c r="A264" t="n">
        <v>260</v>
      </c>
      <c r="B264" s="15">
        <f>CEILING(A264/12,1)</f>
        <v/>
      </c>
      <c r="C264" s="16">
        <f>I263</f>
        <v/>
      </c>
      <c r="D264" s="16">
        <f>IF(AND(C264&gt;0.01,A264&lt;=Inputs!$B$65),Inputs!$B$66,0)</f>
        <v/>
      </c>
      <c r="E264" s="16">
        <f>IF(D264=0,0,MIN(D264-F264,C264))</f>
        <v/>
      </c>
      <c r="F264" s="16">
        <f>IF(C264&gt;0.01,C264*Inputs!$B$64,0)</f>
        <v/>
      </c>
      <c r="G264" s="16">
        <f>IF(C264-E264&gt;0,MIN(Inputs!$B$20,C264-E264),0)</f>
        <v/>
      </c>
      <c r="H264" s="17">
        <f>IF(Inputs!$B$62+SUM(E$5:E264)+SUM(G$5:G263)&lt;Inputs!$B$72,1,0)</f>
        <v/>
      </c>
      <c r="I264" s="16">
        <f>MAX(0,C264-E264-G264)</f>
        <v/>
      </c>
    </row>
    <row r="265">
      <c r="A265" t="n">
        <v>261</v>
      </c>
      <c r="B265" s="15">
        <f>CEILING(A265/12,1)</f>
        <v/>
      </c>
      <c r="C265" s="16">
        <f>I264</f>
        <v/>
      </c>
      <c r="D265" s="16">
        <f>IF(AND(C265&gt;0.01,A265&lt;=Inputs!$B$65),Inputs!$B$66,0)</f>
        <v/>
      </c>
      <c r="E265" s="16">
        <f>IF(D265=0,0,MIN(D265-F265,C265))</f>
        <v/>
      </c>
      <c r="F265" s="16">
        <f>IF(C265&gt;0.01,C265*Inputs!$B$64,0)</f>
        <v/>
      </c>
      <c r="G265" s="16">
        <f>IF(C265-E265&gt;0,MIN(Inputs!$B$20,C265-E265),0)</f>
        <v/>
      </c>
      <c r="H265" s="17">
        <f>IF(Inputs!$B$62+SUM(E$5:E265)+SUM(G$5:G264)&lt;Inputs!$B$72,1,0)</f>
        <v/>
      </c>
      <c r="I265" s="16">
        <f>MAX(0,C265-E265-G265)</f>
        <v/>
      </c>
    </row>
    <row r="266">
      <c r="A266" t="n">
        <v>262</v>
      </c>
      <c r="B266" s="15">
        <f>CEILING(A266/12,1)</f>
        <v/>
      </c>
      <c r="C266" s="16">
        <f>I265</f>
        <v/>
      </c>
      <c r="D266" s="16">
        <f>IF(AND(C266&gt;0.01,A266&lt;=Inputs!$B$65),Inputs!$B$66,0)</f>
        <v/>
      </c>
      <c r="E266" s="16">
        <f>IF(D266=0,0,MIN(D266-F266,C266))</f>
        <v/>
      </c>
      <c r="F266" s="16">
        <f>IF(C266&gt;0.01,C266*Inputs!$B$64,0)</f>
        <v/>
      </c>
      <c r="G266" s="16">
        <f>IF(C266-E266&gt;0,MIN(Inputs!$B$20,C266-E266),0)</f>
        <v/>
      </c>
      <c r="H266" s="17">
        <f>IF(Inputs!$B$62+SUM(E$5:E266)+SUM(G$5:G265)&lt;Inputs!$B$72,1,0)</f>
        <v/>
      </c>
      <c r="I266" s="16">
        <f>MAX(0,C266-E266-G266)</f>
        <v/>
      </c>
    </row>
    <row r="267">
      <c r="A267" t="n">
        <v>263</v>
      </c>
      <c r="B267" s="15">
        <f>CEILING(A267/12,1)</f>
        <v/>
      </c>
      <c r="C267" s="16">
        <f>I266</f>
        <v/>
      </c>
      <c r="D267" s="16">
        <f>IF(AND(C267&gt;0.01,A267&lt;=Inputs!$B$65),Inputs!$B$66,0)</f>
        <v/>
      </c>
      <c r="E267" s="16">
        <f>IF(D267=0,0,MIN(D267-F267,C267))</f>
        <v/>
      </c>
      <c r="F267" s="16">
        <f>IF(C267&gt;0.01,C267*Inputs!$B$64,0)</f>
        <v/>
      </c>
      <c r="G267" s="16">
        <f>IF(C267-E267&gt;0,MIN(Inputs!$B$20,C267-E267),0)</f>
        <v/>
      </c>
      <c r="H267" s="17">
        <f>IF(Inputs!$B$62+SUM(E$5:E267)+SUM(G$5:G266)&lt;Inputs!$B$72,1,0)</f>
        <v/>
      </c>
      <c r="I267" s="16">
        <f>MAX(0,C267-E267-G267)</f>
        <v/>
      </c>
    </row>
    <row r="268">
      <c r="A268" t="n">
        <v>264</v>
      </c>
      <c r="B268" s="15">
        <f>CEILING(A268/12,1)</f>
        <v/>
      </c>
      <c r="C268" s="16">
        <f>I267</f>
        <v/>
      </c>
      <c r="D268" s="16">
        <f>IF(AND(C268&gt;0.01,A268&lt;=Inputs!$B$65),Inputs!$B$66,0)</f>
        <v/>
      </c>
      <c r="E268" s="16">
        <f>IF(D268=0,0,MIN(D268-F268,C268))</f>
        <v/>
      </c>
      <c r="F268" s="16">
        <f>IF(C268&gt;0.01,C268*Inputs!$B$64,0)</f>
        <v/>
      </c>
      <c r="G268" s="16">
        <f>IF(C268-E268&gt;0,MIN(Inputs!$B$20,C268-E268),0)</f>
        <v/>
      </c>
      <c r="H268" s="17">
        <f>IF(Inputs!$B$62+SUM(E$5:E268)+SUM(G$5:G267)&lt;Inputs!$B$72,1,0)</f>
        <v/>
      </c>
      <c r="I268" s="16">
        <f>MAX(0,C268-E268-G268)</f>
        <v/>
      </c>
    </row>
    <row r="269">
      <c r="A269" t="n">
        <v>265</v>
      </c>
      <c r="B269" s="15">
        <f>CEILING(A269/12,1)</f>
        <v/>
      </c>
      <c r="C269" s="16">
        <f>I268</f>
        <v/>
      </c>
      <c r="D269" s="16">
        <f>IF(AND(C269&gt;0.01,A269&lt;=Inputs!$B$65),Inputs!$B$66,0)</f>
        <v/>
      </c>
      <c r="E269" s="16">
        <f>IF(D269=0,0,MIN(D269-F269,C269))</f>
        <v/>
      </c>
      <c r="F269" s="16">
        <f>IF(C269&gt;0.01,C269*Inputs!$B$64,0)</f>
        <v/>
      </c>
      <c r="G269" s="16">
        <f>IF(C269-E269&gt;0,MIN(Inputs!$B$20,C269-E269),0)</f>
        <v/>
      </c>
      <c r="H269" s="17">
        <f>IF(Inputs!$B$62+SUM(E$5:E269)+SUM(G$5:G268)&lt;Inputs!$B$72,1,0)</f>
        <v/>
      </c>
      <c r="I269" s="16">
        <f>MAX(0,C269-E269-G269)</f>
        <v/>
      </c>
    </row>
    <row r="270">
      <c r="A270" t="n">
        <v>266</v>
      </c>
      <c r="B270" s="15">
        <f>CEILING(A270/12,1)</f>
        <v/>
      </c>
      <c r="C270" s="16">
        <f>I269</f>
        <v/>
      </c>
      <c r="D270" s="16">
        <f>IF(AND(C270&gt;0.01,A270&lt;=Inputs!$B$65),Inputs!$B$66,0)</f>
        <v/>
      </c>
      <c r="E270" s="16">
        <f>IF(D270=0,0,MIN(D270-F270,C270))</f>
        <v/>
      </c>
      <c r="F270" s="16">
        <f>IF(C270&gt;0.01,C270*Inputs!$B$64,0)</f>
        <v/>
      </c>
      <c r="G270" s="16">
        <f>IF(C270-E270&gt;0,MIN(Inputs!$B$20,C270-E270),0)</f>
        <v/>
      </c>
      <c r="H270" s="17">
        <f>IF(Inputs!$B$62+SUM(E$5:E270)+SUM(G$5:G269)&lt;Inputs!$B$72,1,0)</f>
        <v/>
      </c>
      <c r="I270" s="16">
        <f>MAX(0,C270-E270-G270)</f>
        <v/>
      </c>
    </row>
    <row r="271">
      <c r="A271" t="n">
        <v>267</v>
      </c>
      <c r="B271" s="15">
        <f>CEILING(A271/12,1)</f>
        <v/>
      </c>
      <c r="C271" s="16">
        <f>I270</f>
        <v/>
      </c>
      <c r="D271" s="16">
        <f>IF(AND(C271&gt;0.01,A271&lt;=Inputs!$B$65),Inputs!$B$66,0)</f>
        <v/>
      </c>
      <c r="E271" s="16">
        <f>IF(D271=0,0,MIN(D271-F271,C271))</f>
        <v/>
      </c>
      <c r="F271" s="16">
        <f>IF(C271&gt;0.01,C271*Inputs!$B$64,0)</f>
        <v/>
      </c>
      <c r="G271" s="16">
        <f>IF(C271-E271&gt;0,MIN(Inputs!$B$20,C271-E271),0)</f>
        <v/>
      </c>
      <c r="H271" s="17">
        <f>IF(Inputs!$B$62+SUM(E$5:E271)+SUM(G$5:G270)&lt;Inputs!$B$72,1,0)</f>
        <v/>
      </c>
      <c r="I271" s="16">
        <f>MAX(0,C271-E271-G271)</f>
        <v/>
      </c>
    </row>
    <row r="272">
      <c r="A272" t="n">
        <v>268</v>
      </c>
      <c r="B272" s="15">
        <f>CEILING(A272/12,1)</f>
        <v/>
      </c>
      <c r="C272" s="16">
        <f>I271</f>
        <v/>
      </c>
      <c r="D272" s="16">
        <f>IF(AND(C272&gt;0.01,A272&lt;=Inputs!$B$65),Inputs!$B$66,0)</f>
        <v/>
      </c>
      <c r="E272" s="16">
        <f>IF(D272=0,0,MIN(D272-F272,C272))</f>
        <v/>
      </c>
      <c r="F272" s="16">
        <f>IF(C272&gt;0.01,C272*Inputs!$B$64,0)</f>
        <v/>
      </c>
      <c r="G272" s="16">
        <f>IF(C272-E272&gt;0,MIN(Inputs!$B$20,C272-E272),0)</f>
        <v/>
      </c>
      <c r="H272" s="17">
        <f>IF(Inputs!$B$62+SUM(E$5:E272)+SUM(G$5:G271)&lt;Inputs!$B$72,1,0)</f>
        <v/>
      </c>
      <c r="I272" s="16">
        <f>MAX(0,C272-E272-G272)</f>
        <v/>
      </c>
    </row>
    <row r="273">
      <c r="A273" t="n">
        <v>269</v>
      </c>
      <c r="B273" s="15">
        <f>CEILING(A273/12,1)</f>
        <v/>
      </c>
      <c r="C273" s="16">
        <f>I272</f>
        <v/>
      </c>
      <c r="D273" s="16">
        <f>IF(AND(C273&gt;0.01,A273&lt;=Inputs!$B$65),Inputs!$B$66,0)</f>
        <v/>
      </c>
      <c r="E273" s="16">
        <f>IF(D273=0,0,MIN(D273-F273,C273))</f>
        <v/>
      </c>
      <c r="F273" s="16">
        <f>IF(C273&gt;0.01,C273*Inputs!$B$64,0)</f>
        <v/>
      </c>
      <c r="G273" s="16">
        <f>IF(C273-E273&gt;0,MIN(Inputs!$B$20,C273-E273),0)</f>
        <v/>
      </c>
      <c r="H273" s="17">
        <f>IF(Inputs!$B$62+SUM(E$5:E273)+SUM(G$5:G272)&lt;Inputs!$B$72,1,0)</f>
        <v/>
      </c>
      <c r="I273" s="16">
        <f>MAX(0,C273-E273-G273)</f>
        <v/>
      </c>
    </row>
    <row r="274">
      <c r="A274" t="n">
        <v>270</v>
      </c>
      <c r="B274" s="15">
        <f>CEILING(A274/12,1)</f>
        <v/>
      </c>
      <c r="C274" s="16">
        <f>I273</f>
        <v/>
      </c>
      <c r="D274" s="16">
        <f>IF(AND(C274&gt;0.01,A274&lt;=Inputs!$B$65),Inputs!$B$66,0)</f>
        <v/>
      </c>
      <c r="E274" s="16">
        <f>IF(D274=0,0,MIN(D274-F274,C274))</f>
        <v/>
      </c>
      <c r="F274" s="16">
        <f>IF(C274&gt;0.01,C274*Inputs!$B$64,0)</f>
        <v/>
      </c>
      <c r="G274" s="16">
        <f>IF(C274-E274&gt;0,MIN(Inputs!$B$20,C274-E274),0)</f>
        <v/>
      </c>
      <c r="H274" s="17">
        <f>IF(Inputs!$B$62+SUM(E$5:E274)+SUM(G$5:G273)&lt;Inputs!$B$72,1,0)</f>
        <v/>
      </c>
      <c r="I274" s="16">
        <f>MAX(0,C274-E274-G274)</f>
        <v/>
      </c>
    </row>
    <row r="275">
      <c r="A275" t="n">
        <v>271</v>
      </c>
      <c r="B275" s="15">
        <f>CEILING(A275/12,1)</f>
        <v/>
      </c>
      <c r="C275" s="16">
        <f>I274</f>
        <v/>
      </c>
      <c r="D275" s="16">
        <f>IF(AND(C275&gt;0.01,A275&lt;=Inputs!$B$65),Inputs!$B$66,0)</f>
        <v/>
      </c>
      <c r="E275" s="16">
        <f>IF(D275=0,0,MIN(D275-F275,C275))</f>
        <v/>
      </c>
      <c r="F275" s="16">
        <f>IF(C275&gt;0.01,C275*Inputs!$B$64,0)</f>
        <v/>
      </c>
      <c r="G275" s="16">
        <f>IF(C275-E275&gt;0,MIN(Inputs!$B$20,C275-E275),0)</f>
        <v/>
      </c>
      <c r="H275" s="17">
        <f>IF(Inputs!$B$62+SUM(E$5:E275)+SUM(G$5:G274)&lt;Inputs!$B$72,1,0)</f>
        <v/>
      </c>
      <c r="I275" s="16">
        <f>MAX(0,C275-E275-G275)</f>
        <v/>
      </c>
    </row>
    <row r="276">
      <c r="A276" t="n">
        <v>272</v>
      </c>
      <c r="B276" s="15">
        <f>CEILING(A276/12,1)</f>
        <v/>
      </c>
      <c r="C276" s="16">
        <f>I275</f>
        <v/>
      </c>
      <c r="D276" s="16">
        <f>IF(AND(C276&gt;0.01,A276&lt;=Inputs!$B$65),Inputs!$B$66,0)</f>
        <v/>
      </c>
      <c r="E276" s="16">
        <f>IF(D276=0,0,MIN(D276-F276,C276))</f>
        <v/>
      </c>
      <c r="F276" s="16">
        <f>IF(C276&gt;0.01,C276*Inputs!$B$64,0)</f>
        <v/>
      </c>
      <c r="G276" s="16">
        <f>IF(C276-E276&gt;0,MIN(Inputs!$B$20,C276-E276),0)</f>
        <v/>
      </c>
      <c r="H276" s="17">
        <f>IF(Inputs!$B$62+SUM(E$5:E276)+SUM(G$5:G275)&lt;Inputs!$B$72,1,0)</f>
        <v/>
      </c>
      <c r="I276" s="16">
        <f>MAX(0,C276-E276-G276)</f>
        <v/>
      </c>
    </row>
    <row r="277">
      <c r="A277" t="n">
        <v>273</v>
      </c>
      <c r="B277" s="15">
        <f>CEILING(A277/12,1)</f>
        <v/>
      </c>
      <c r="C277" s="16">
        <f>I276</f>
        <v/>
      </c>
      <c r="D277" s="16">
        <f>IF(AND(C277&gt;0.01,A277&lt;=Inputs!$B$65),Inputs!$B$66,0)</f>
        <v/>
      </c>
      <c r="E277" s="16">
        <f>IF(D277=0,0,MIN(D277-F277,C277))</f>
        <v/>
      </c>
      <c r="F277" s="16">
        <f>IF(C277&gt;0.01,C277*Inputs!$B$64,0)</f>
        <v/>
      </c>
      <c r="G277" s="16">
        <f>IF(C277-E277&gt;0,MIN(Inputs!$B$20,C277-E277),0)</f>
        <v/>
      </c>
      <c r="H277" s="17">
        <f>IF(Inputs!$B$62+SUM(E$5:E277)+SUM(G$5:G276)&lt;Inputs!$B$72,1,0)</f>
        <v/>
      </c>
      <c r="I277" s="16">
        <f>MAX(0,C277-E277-G277)</f>
        <v/>
      </c>
    </row>
    <row r="278">
      <c r="A278" t="n">
        <v>274</v>
      </c>
      <c r="B278" s="15">
        <f>CEILING(A278/12,1)</f>
        <v/>
      </c>
      <c r="C278" s="16">
        <f>I277</f>
        <v/>
      </c>
      <c r="D278" s="16">
        <f>IF(AND(C278&gt;0.01,A278&lt;=Inputs!$B$65),Inputs!$B$66,0)</f>
        <v/>
      </c>
      <c r="E278" s="16">
        <f>IF(D278=0,0,MIN(D278-F278,C278))</f>
        <v/>
      </c>
      <c r="F278" s="16">
        <f>IF(C278&gt;0.01,C278*Inputs!$B$64,0)</f>
        <v/>
      </c>
      <c r="G278" s="16">
        <f>IF(C278-E278&gt;0,MIN(Inputs!$B$20,C278-E278),0)</f>
        <v/>
      </c>
      <c r="H278" s="17">
        <f>IF(Inputs!$B$62+SUM(E$5:E278)+SUM(G$5:G277)&lt;Inputs!$B$72,1,0)</f>
        <v/>
      </c>
      <c r="I278" s="16">
        <f>MAX(0,C278-E278-G278)</f>
        <v/>
      </c>
    </row>
    <row r="279">
      <c r="A279" t="n">
        <v>275</v>
      </c>
      <c r="B279" s="15">
        <f>CEILING(A279/12,1)</f>
        <v/>
      </c>
      <c r="C279" s="16">
        <f>I278</f>
        <v/>
      </c>
      <c r="D279" s="16">
        <f>IF(AND(C279&gt;0.01,A279&lt;=Inputs!$B$65),Inputs!$B$66,0)</f>
        <v/>
      </c>
      <c r="E279" s="16">
        <f>IF(D279=0,0,MIN(D279-F279,C279))</f>
        <v/>
      </c>
      <c r="F279" s="16">
        <f>IF(C279&gt;0.01,C279*Inputs!$B$64,0)</f>
        <v/>
      </c>
      <c r="G279" s="16">
        <f>IF(C279-E279&gt;0,MIN(Inputs!$B$20,C279-E279),0)</f>
        <v/>
      </c>
      <c r="H279" s="17">
        <f>IF(Inputs!$B$62+SUM(E$5:E279)+SUM(G$5:G278)&lt;Inputs!$B$72,1,0)</f>
        <v/>
      </c>
      <c r="I279" s="16">
        <f>MAX(0,C279-E279-G279)</f>
        <v/>
      </c>
    </row>
    <row r="280">
      <c r="A280" t="n">
        <v>276</v>
      </c>
      <c r="B280" s="15">
        <f>CEILING(A280/12,1)</f>
        <v/>
      </c>
      <c r="C280" s="16">
        <f>I279</f>
        <v/>
      </c>
      <c r="D280" s="16">
        <f>IF(AND(C280&gt;0.01,A280&lt;=Inputs!$B$65),Inputs!$B$66,0)</f>
        <v/>
      </c>
      <c r="E280" s="16">
        <f>IF(D280=0,0,MIN(D280-F280,C280))</f>
        <v/>
      </c>
      <c r="F280" s="16">
        <f>IF(C280&gt;0.01,C280*Inputs!$B$64,0)</f>
        <v/>
      </c>
      <c r="G280" s="16">
        <f>IF(C280-E280&gt;0,MIN(Inputs!$B$20,C280-E280),0)</f>
        <v/>
      </c>
      <c r="H280" s="17">
        <f>IF(Inputs!$B$62+SUM(E$5:E280)+SUM(G$5:G279)&lt;Inputs!$B$72,1,0)</f>
        <v/>
      </c>
      <c r="I280" s="16">
        <f>MAX(0,C280-E280-G280)</f>
        <v/>
      </c>
    </row>
    <row r="281">
      <c r="A281" t="n">
        <v>277</v>
      </c>
      <c r="B281" s="15">
        <f>CEILING(A281/12,1)</f>
        <v/>
      </c>
      <c r="C281" s="16">
        <f>I280</f>
        <v/>
      </c>
      <c r="D281" s="16">
        <f>IF(AND(C281&gt;0.01,A281&lt;=Inputs!$B$65),Inputs!$B$66,0)</f>
        <v/>
      </c>
      <c r="E281" s="16">
        <f>IF(D281=0,0,MIN(D281-F281,C281))</f>
        <v/>
      </c>
      <c r="F281" s="16">
        <f>IF(C281&gt;0.01,C281*Inputs!$B$64,0)</f>
        <v/>
      </c>
      <c r="G281" s="16">
        <f>IF(C281-E281&gt;0,MIN(Inputs!$B$20,C281-E281),0)</f>
        <v/>
      </c>
      <c r="H281" s="17">
        <f>IF(Inputs!$B$62+SUM(E$5:E281)+SUM(G$5:G280)&lt;Inputs!$B$72,1,0)</f>
        <v/>
      </c>
      <c r="I281" s="16">
        <f>MAX(0,C281-E281-G281)</f>
        <v/>
      </c>
    </row>
    <row r="282">
      <c r="A282" t="n">
        <v>278</v>
      </c>
      <c r="B282" s="15">
        <f>CEILING(A282/12,1)</f>
        <v/>
      </c>
      <c r="C282" s="16">
        <f>I281</f>
        <v/>
      </c>
      <c r="D282" s="16">
        <f>IF(AND(C282&gt;0.01,A282&lt;=Inputs!$B$65),Inputs!$B$66,0)</f>
        <v/>
      </c>
      <c r="E282" s="16">
        <f>IF(D282=0,0,MIN(D282-F282,C282))</f>
        <v/>
      </c>
      <c r="F282" s="16">
        <f>IF(C282&gt;0.01,C282*Inputs!$B$64,0)</f>
        <v/>
      </c>
      <c r="G282" s="16">
        <f>IF(C282-E282&gt;0,MIN(Inputs!$B$20,C282-E282),0)</f>
        <v/>
      </c>
      <c r="H282" s="17">
        <f>IF(Inputs!$B$62+SUM(E$5:E282)+SUM(G$5:G281)&lt;Inputs!$B$72,1,0)</f>
        <v/>
      </c>
      <c r="I282" s="16">
        <f>MAX(0,C282-E282-G282)</f>
        <v/>
      </c>
    </row>
    <row r="283">
      <c r="A283" t="n">
        <v>279</v>
      </c>
      <c r="B283" s="15">
        <f>CEILING(A283/12,1)</f>
        <v/>
      </c>
      <c r="C283" s="16">
        <f>I282</f>
        <v/>
      </c>
      <c r="D283" s="16">
        <f>IF(AND(C283&gt;0.01,A283&lt;=Inputs!$B$65),Inputs!$B$66,0)</f>
        <v/>
      </c>
      <c r="E283" s="16">
        <f>IF(D283=0,0,MIN(D283-F283,C283))</f>
        <v/>
      </c>
      <c r="F283" s="16">
        <f>IF(C283&gt;0.01,C283*Inputs!$B$64,0)</f>
        <v/>
      </c>
      <c r="G283" s="16">
        <f>IF(C283-E283&gt;0,MIN(Inputs!$B$20,C283-E283),0)</f>
        <v/>
      </c>
      <c r="H283" s="17">
        <f>IF(Inputs!$B$62+SUM(E$5:E283)+SUM(G$5:G282)&lt;Inputs!$B$72,1,0)</f>
        <v/>
      </c>
      <c r="I283" s="16">
        <f>MAX(0,C283-E283-G283)</f>
        <v/>
      </c>
    </row>
    <row r="284">
      <c r="A284" t="n">
        <v>280</v>
      </c>
      <c r="B284" s="15">
        <f>CEILING(A284/12,1)</f>
        <v/>
      </c>
      <c r="C284" s="16">
        <f>I283</f>
        <v/>
      </c>
      <c r="D284" s="16">
        <f>IF(AND(C284&gt;0.01,A284&lt;=Inputs!$B$65),Inputs!$B$66,0)</f>
        <v/>
      </c>
      <c r="E284" s="16">
        <f>IF(D284=0,0,MIN(D284-F284,C284))</f>
        <v/>
      </c>
      <c r="F284" s="16">
        <f>IF(C284&gt;0.01,C284*Inputs!$B$64,0)</f>
        <v/>
      </c>
      <c r="G284" s="16">
        <f>IF(C284-E284&gt;0,MIN(Inputs!$B$20,C284-E284),0)</f>
        <v/>
      </c>
      <c r="H284" s="17">
        <f>IF(Inputs!$B$62+SUM(E$5:E284)+SUM(G$5:G283)&lt;Inputs!$B$72,1,0)</f>
        <v/>
      </c>
      <c r="I284" s="16">
        <f>MAX(0,C284-E284-G284)</f>
        <v/>
      </c>
    </row>
    <row r="285">
      <c r="A285" t="n">
        <v>281</v>
      </c>
      <c r="B285" s="15">
        <f>CEILING(A285/12,1)</f>
        <v/>
      </c>
      <c r="C285" s="16">
        <f>I284</f>
        <v/>
      </c>
      <c r="D285" s="16">
        <f>IF(AND(C285&gt;0.01,A285&lt;=Inputs!$B$65),Inputs!$B$66,0)</f>
        <v/>
      </c>
      <c r="E285" s="16">
        <f>IF(D285=0,0,MIN(D285-F285,C285))</f>
        <v/>
      </c>
      <c r="F285" s="16">
        <f>IF(C285&gt;0.01,C285*Inputs!$B$64,0)</f>
        <v/>
      </c>
      <c r="G285" s="16">
        <f>IF(C285-E285&gt;0,MIN(Inputs!$B$20,C285-E285),0)</f>
        <v/>
      </c>
      <c r="H285" s="17">
        <f>IF(Inputs!$B$62+SUM(E$5:E285)+SUM(G$5:G284)&lt;Inputs!$B$72,1,0)</f>
        <v/>
      </c>
      <c r="I285" s="16">
        <f>MAX(0,C285-E285-G285)</f>
        <v/>
      </c>
    </row>
    <row r="286">
      <c r="A286" t="n">
        <v>282</v>
      </c>
      <c r="B286" s="15">
        <f>CEILING(A286/12,1)</f>
        <v/>
      </c>
      <c r="C286" s="16">
        <f>I285</f>
        <v/>
      </c>
      <c r="D286" s="16">
        <f>IF(AND(C286&gt;0.01,A286&lt;=Inputs!$B$65),Inputs!$B$66,0)</f>
        <v/>
      </c>
      <c r="E286" s="16">
        <f>IF(D286=0,0,MIN(D286-F286,C286))</f>
        <v/>
      </c>
      <c r="F286" s="16">
        <f>IF(C286&gt;0.01,C286*Inputs!$B$64,0)</f>
        <v/>
      </c>
      <c r="G286" s="16">
        <f>IF(C286-E286&gt;0,MIN(Inputs!$B$20,C286-E286),0)</f>
        <v/>
      </c>
      <c r="H286" s="17">
        <f>IF(Inputs!$B$62+SUM(E$5:E286)+SUM(G$5:G285)&lt;Inputs!$B$72,1,0)</f>
        <v/>
      </c>
      <c r="I286" s="16">
        <f>MAX(0,C286-E286-G286)</f>
        <v/>
      </c>
    </row>
    <row r="287">
      <c r="A287" t="n">
        <v>283</v>
      </c>
      <c r="B287" s="15">
        <f>CEILING(A287/12,1)</f>
        <v/>
      </c>
      <c r="C287" s="16">
        <f>I286</f>
        <v/>
      </c>
      <c r="D287" s="16">
        <f>IF(AND(C287&gt;0.01,A287&lt;=Inputs!$B$65),Inputs!$B$66,0)</f>
        <v/>
      </c>
      <c r="E287" s="16">
        <f>IF(D287=0,0,MIN(D287-F287,C287))</f>
        <v/>
      </c>
      <c r="F287" s="16">
        <f>IF(C287&gt;0.01,C287*Inputs!$B$64,0)</f>
        <v/>
      </c>
      <c r="G287" s="16">
        <f>IF(C287-E287&gt;0,MIN(Inputs!$B$20,C287-E287),0)</f>
        <v/>
      </c>
      <c r="H287" s="17">
        <f>IF(Inputs!$B$62+SUM(E$5:E287)+SUM(G$5:G286)&lt;Inputs!$B$72,1,0)</f>
        <v/>
      </c>
      <c r="I287" s="16">
        <f>MAX(0,C287-E287-G287)</f>
        <v/>
      </c>
    </row>
    <row r="288">
      <c r="A288" t="n">
        <v>284</v>
      </c>
      <c r="B288" s="15">
        <f>CEILING(A288/12,1)</f>
        <v/>
      </c>
      <c r="C288" s="16">
        <f>I287</f>
        <v/>
      </c>
      <c r="D288" s="16">
        <f>IF(AND(C288&gt;0.01,A288&lt;=Inputs!$B$65),Inputs!$B$66,0)</f>
        <v/>
      </c>
      <c r="E288" s="16">
        <f>IF(D288=0,0,MIN(D288-F288,C288))</f>
        <v/>
      </c>
      <c r="F288" s="16">
        <f>IF(C288&gt;0.01,C288*Inputs!$B$64,0)</f>
        <v/>
      </c>
      <c r="G288" s="16">
        <f>IF(C288-E288&gt;0,MIN(Inputs!$B$20,C288-E288),0)</f>
        <v/>
      </c>
      <c r="H288" s="17">
        <f>IF(Inputs!$B$62+SUM(E$5:E288)+SUM(G$5:G287)&lt;Inputs!$B$72,1,0)</f>
        <v/>
      </c>
      <c r="I288" s="16">
        <f>MAX(0,C288-E288-G288)</f>
        <v/>
      </c>
    </row>
    <row r="289">
      <c r="A289" t="n">
        <v>285</v>
      </c>
      <c r="B289" s="15">
        <f>CEILING(A289/12,1)</f>
        <v/>
      </c>
      <c r="C289" s="16">
        <f>I288</f>
        <v/>
      </c>
      <c r="D289" s="16">
        <f>IF(AND(C289&gt;0.01,A289&lt;=Inputs!$B$65),Inputs!$B$66,0)</f>
        <v/>
      </c>
      <c r="E289" s="16">
        <f>IF(D289=0,0,MIN(D289-F289,C289))</f>
        <v/>
      </c>
      <c r="F289" s="16">
        <f>IF(C289&gt;0.01,C289*Inputs!$B$64,0)</f>
        <v/>
      </c>
      <c r="G289" s="16">
        <f>IF(C289-E289&gt;0,MIN(Inputs!$B$20,C289-E289),0)</f>
        <v/>
      </c>
      <c r="H289" s="17">
        <f>IF(Inputs!$B$62+SUM(E$5:E289)+SUM(G$5:G288)&lt;Inputs!$B$72,1,0)</f>
        <v/>
      </c>
      <c r="I289" s="16">
        <f>MAX(0,C289-E289-G289)</f>
        <v/>
      </c>
    </row>
    <row r="290">
      <c r="A290" t="n">
        <v>286</v>
      </c>
      <c r="B290" s="15">
        <f>CEILING(A290/12,1)</f>
        <v/>
      </c>
      <c r="C290" s="16">
        <f>I289</f>
        <v/>
      </c>
      <c r="D290" s="16">
        <f>IF(AND(C290&gt;0.01,A290&lt;=Inputs!$B$65),Inputs!$B$66,0)</f>
        <v/>
      </c>
      <c r="E290" s="16">
        <f>IF(D290=0,0,MIN(D290-F290,C290))</f>
        <v/>
      </c>
      <c r="F290" s="16">
        <f>IF(C290&gt;0.01,C290*Inputs!$B$64,0)</f>
        <v/>
      </c>
      <c r="G290" s="16">
        <f>IF(C290-E290&gt;0,MIN(Inputs!$B$20,C290-E290),0)</f>
        <v/>
      </c>
      <c r="H290" s="17">
        <f>IF(Inputs!$B$62+SUM(E$5:E290)+SUM(G$5:G289)&lt;Inputs!$B$72,1,0)</f>
        <v/>
      </c>
      <c r="I290" s="16">
        <f>MAX(0,C290-E290-G290)</f>
        <v/>
      </c>
    </row>
    <row r="291">
      <c r="A291" t="n">
        <v>287</v>
      </c>
      <c r="B291" s="15">
        <f>CEILING(A291/12,1)</f>
        <v/>
      </c>
      <c r="C291" s="16">
        <f>I290</f>
        <v/>
      </c>
      <c r="D291" s="16">
        <f>IF(AND(C291&gt;0.01,A291&lt;=Inputs!$B$65),Inputs!$B$66,0)</f>
        <v/>
      </c>
      <c r="E291" s="16">
        <f>IF(D291=0,0,MIN(D291-F291,C291))</f>
        <v/>
      </c>
      <c r="F291" s="16">
        <f>IF(C291&gt;0.01,C291*Inputs!$B$64,0)</f>
        <v/>
      </c>
      <c r="G291" s="16">
        <f>IF(C291-E291&gt;0,MIN(Inputs!$B$20,C291-E291),0)</f>
        <v/>
      </c>
      <c r="H291" s="17">
        <f>IF(Inputs!$B$62+SUM(E$5:E291)+SUM(G$5:G290)&lt;Inputs!$B$72,1,0)</f>
        <v/>
      </c>
      <c r="I291" s="16">
        <f>MAX(0,C291-E291-G291)</f>
        <v/>
      </c>
    </row>
    <row r="292">
      <c r="A292" t="n">
        <v>288</v>
      </c>
      <c r="B292" s="15">
        <f>CEILING(A292/12,1)</f>
        <v/>
      </c>
      <c r="C292" s="16">
        <f>I291</f>
        <v/>
      </c>
      <c r="D292" s="16">
        <f>IF(AND(C292&gt;0.01,A292&lt;=Inputs!$B$65),Inputs!$B$66,0)</f>
        <v/>
      </c>
      <c r="E292" s="16">
        <f>IF(D292=0,0,MIN(D292-F292,C292))</f>
        <v/>
      </c>
      <c r="F292" s="16">
        <f>IF(C292&gt;0.01,C292*Inputs!$B$64,0)</f>
        <v/>
      </c>
      <c r="G292" s="16">
        <f>IF(C292-E292&gt;0,MIN(Inputs!$B$20,C292-E292),0)</f>
        <v/>
      </c>
      <c r="H292" s="17">
        <f>IF(Inputs!$B$62+SUM(E$5:E292)+SUM(G$5:G291)&lt;Inputs!$B$72,1,0)</f>
        <v/>
      </c>
      <c r="I292" s="16">
        <f>MAX(0,C292-E292-G292)</f>
        <v/>
      </c>
    </row>
    <row r="293">
      <c r="A293" t="n">
        <v>289</v>
      </c>
      <c r="B293" s="15">
        <f>CEILING(A293/12,1)</f>
        <v/>
      </c>
      <c r="C293" s="16">
        <f>I292</f>
        <v/>
      </c>
      <c r="D293" s="16">
        <f>IF(AND(C293&gt;0.01,A293&lt;=Inputs!$B$65),Inputs!$B$66,0)</f>
        <v/>
      </c>
      <c r="E293" s="16">
        <f>IF(D293=0,0,MIN(D293-F293,C293))</f>
        <v/>
      </c>
      <c r="F293" s="16">
        <f>IF(C293&gt;0.01,C293*Inputs!$B$64,0)</f>
        <v/>
      </c>
      <c r="G293" s="16">
        <f>IF(C293-E293&gt;0,MIN(Inputs!$B$20,C293-E293),0)</f>
        <v/>
      </c>
      <c r="H293" s="17">
        <f>IF(Inputs!$B$62+SUM(E$5:E293)+SUM(G$5:G292)&lt;Inputs!$B$72,1,0)</f>
        <v/>
      </c>
      <c r="I293" s="16">
        <f>MAX(0,C293-E293-G293)</f>
        <v/>
      </c>
    </row>
    <row r="294">
      <c r="A294" t="n">
        <v>290</v>
      </c>
      <c r="B294" s="15">
        <f>CEILING(A294/12,1)</f>
        <v/>
      </c>
      <c r="C294" s="16">
        <f>I293</f>
        <v/>
      </c>
      <c r="D294" s="16">
        <f>IF(AND(C294&gt;0.01,A294&lt;=Inputs!$B$65),Inputs!$B$66,0)</f>
        <v/>
      </c>
      <c r="E294" s="16">
        <f>IF(D294=0,0,MIN(D294-F294,C294))</f>
        <v/>
      </c>
      <c r="F294" s="16">
        <f>IF(C294&gt;0.01,C294*Inputs!$B$64,0)</f>
        <v/>
      </c>
      <c r="G294" s="16">
        <f>IF(C294-E294&gt;0,MIN(Inputs!$B$20,C294-E294),0)</f>
        <v/>
      </c>
      <c r="H294" s="17">
        <f>IF(Inputs!$B$62+SUM(E$5:E294)+SUM(G$5:G293)&lt;Inputs!$B$72,1,0)</f>
        <v/>
      </c>
      <c r="I294" s="16">
        <f>MAX(0,C294-E294-G294)</f>
        <v/>
      </c>
    </row>
    <row r="295">
      <c r="A295" t="n">
        <v>291</v>
      </c>
      <c r="B295" s="15">
        <f>CEILING(A295/12,1)</f>
        <v/>
      </c>
      <c r="C295" s="16">
        <f>I294</f>
        <v/>
      </c>
      <c r="D295" s="16">
        <f>IF(AND(C295&gt;0.01,A295&lt;=Inputs!$B$65),Inputs!$B$66,0)</f>
        <v/>
      </c>
      <c r="E295" s="16">
        <f>IF(D295=0,0,MIN(D295-F295,C295))</f>
        <v/>
      </c>
      <c r="F295" s="16">
        <f>IF(C295&gt;0.01,C295*Inputs!$B$64,0)</f>
        <v/>
      </c>
      <c r="G295" s="16">
        <f>IF(C295-E295&gt;0,MIN(Inputs!$B$20,C295-E295),0)</f>
        <v/>
      </c>
      <c r="H295" s="17">
        <f>IF(Inputs!$B$62+SUM(E$5:E295)+SUM(G$5:G294)&lt;Inputs!$B$72,1,0)</f>
        <v/>
      </c>
      <c r="I295" s="16">
        <f>MAX(0,C295-E295-G295)</f>
        <v/>
      </c>
    </row>
    <row r="296">
      <c r="A296" t="n">
        <v>292</v>
      </c>
      <c r="B296" s="15">
        <f>CEILING(A296/12,1)</f>
        <v/>
      </c>
      <c r="C296" s="16">
        <f>I295</f>
        <v/>
      </c>
      <c r="D296" s="16">
        <f>IF(AND(C296&gt;0.01,A296&lt;=Inputs!$B$65),Inputs!$B$66,0)</f>
        <v/>
      </c>
      <c r="E296" s="16">
        <f>IF(D296=0,0,MIN(D296-F296,C296))</f>
        <v/>
      </c>
      <c r="F296" s="16">
        <f>IF(C296&gt;0.01,C296*Inputs!$B$64,0)</f>
        <v/>
      </c>
      <c r="G296" s="16">
        <f>IF(C296-E296&gt;0,MIN(Inputs!$B$20,C296-E296),0)</f>
        <v/>
      </c>
      <c r="H296" s="17">
        <f>IF(Inputs!$B$62+SUM(E$5:E296)+SUM(G$5:G295)&lt;Inputs!$B$72,1,0)</f>
        <v/>
      </c>
      <c r="I296" s="16">
        <f>MAX(0,C296-E296-G296)</f>
        <v/>
      </c>
    </row>
    <row r="297">
      <c r="A297" t="n">
        <v>293</v>
      </c>
      <c r="B297" s="15">
        <f>CEILING(A297/12,1)</f>
        <v/>
      </c>
      <c r="C297" s="16">
        <f>I296</f>
        <v/>
      </c>
      <c r="D297" s="16">
        <f>IF(AND(C297&gt;0.01,A297&lt;=Inputs!$B$65),Inputs!$B$66,0)</f>
        <v/>
      </c>
      <c r="E297" s="16">
        <f>IF(D297=0,0,MIN(D297-F297,C297))</f>
        <v/>
      </c>
      <c r="F297" s="16">
        <f>IF(C297&gt;0.01,C297*Inputs!$B$64,0)</f>
        <v/>
      </c>
      <c r="G297" s="16">
        <f>IF(C297-E297&gt;0,MIN(Inputs!$B$20,C297-E297),0)</f>
        <v/>
      </c>
      <c r="H297" s="17">
        <f>IF(Inputs!$B$62+SUM(E$5:E297)+SUM(G$5:G296)&lt;Inputs!$B$72,1,0)</f>
        <v/>
      </c>
      <c r="I297" s="16">
        <f>MAX(0,C297-E297-G297)</f>
        <v/>
      </c>
    </row>
    <row r="298">
      <c r="A298" t="n">
        <v>294</v>
      </c>
      <c r="B298" s="15">
        <f>CEILING(A298/12,1)</f>
        <v/>
      </c>
      <c r="C298" s="16">
        <f>I297</f>
        <v/>
      </c>
      <c r="D298" s="16">
        <f>IF(AND(C298&gt;0.01,A298&lt;=Inputs!$B$65),Inputs!$B$66,0)</f>
        <v/>
      </c>
      <c r="E298" s="16">
        <f>IF(D298=0,0,MIN(D298-F298,C298))</f>
        <v/>
      </c>
      <c r="F298" s="16">
        <f>IF(C298&gt;0.01,C298*Inputs!$B$64,0)</f>
        <v/>
      </c>
      <c r="G298" s="16">
        <f>IF(C298-E298&gt;0,MIN(Inputs!$B$20,C298-E298),0)</f>
        <v/>
      </c>
      <c r="H298" s="17">
        <f>IF(Inputs!$B$62+SUM(E$5:E298)+SUM(G$5:G297)&lt;Inputs!$B$72,1,0)</f>
        <v/>
      </c>
      <c r="I298" s="16">
        <f>MAX(0,C298-E298-G298)</f>
        <v/>
      </c>
    </row>
    <row r="299">
      <c r="A299" t="n">
        <v>295</v>
      </c>
      <c r="B299" s="15">
        <f>CEILING(A299/12,1)</f>
        <v/>
      </c>
      <c r="C299" s="16">
        <f>I298</f>
        <v/>
      </c>
      <c r="D299" s="16">
        <f>IF(AND(C299&gt;0.01,A299&lt;=Inputs!$B$65),Inputs!$B$66,0)</f>
        <v/>
      </c>
      <c r="E299" s="16">
        <f>IF(D299=0,0,MIN(D299-F299,C299))</f>
        <v/>
      </c>
      <c r="F299" s="16">
        <f>IF(C299&gt;0.01,C299*Inputs!$B$64,0)</f>
        <v/>
      </c>
      <c r="G299" s="16">
        <f>IF(C299-E299&gt;0,MIN(Inputs!$B$20,C299-E299),0)</f>
        <v/>
      </c>
      <c r="H299" s="17">
        <f>IF(Inputs!$B$62+SUM(E$5:E299)+SUM(G$5:G298)&lt;Inputs!$B$72,1,0)</f>
        <v/>
      </c>
      <c r="I299" s="16">
        <f>MAX(0,C299-E299-G299)</f>
        <v/>
      </c>
    </row>
    <row r="300">
      <c r="A300" t="n">
        <v>296</v>
      </c>
      <c r="B300" s="15">
        <f>CEILING(A300/12,1)</f>
        <v/>
      </c>
      <c r="C300" s="16">
        <f>I299</f>
        <v/>
      </c>
      <c r="D300" s="16">
        <f>IF(AND(C300&gt;0.01,A300&lt;=Inputs!$B$65),Inputs!$B$66,0)</f>
        <v/>
      </c>
      <c r="E300" s="16">
        <f>IF(D300=0,0,MIN(D300-F300,C300))</f>
        <v/>
      </c>
      <c r="F300" s="16">
        <f>IF(C300&gt;0.01,C300*Inputs!$B$64,0)</f>
        <v/>
      </c>
      <c r="G300" s="16">
        <f>IF(C300-E300&gt;0,MIN(Inputs!$B$20,C300-E300),0)</f>
        <v/>
      </c>
      <c r="H300" s="17">
        <f>IF(Inputs!$B$62+SUM(E$5:E300)+SUM(G$5:G299)&lt;Inputs!$B$72,1,0)</f>
        <v/>
      </c>
      <c r="I300" s="16">
        <f>MAX(0,C300-E300-G300)</f>
        <v/>
      </c>
    </row>
    <row r="301">
      <c r="A301" t="n">
        <v>297</v>
      </c>
      <c r="B301" s="15">
        <f>CEILING(A301/12,1)</f>
        <v/>
      </c>
      <c r="C301" s="16">
        <f>I300</f>
        <v/>
      </c>
      <c r="D301" s="16">
        <f>IF(AND(C301&gt;0.01,A301&lt;=Inputs!$B$65),Inputs!$B$66,0)</f>
        <v/>
      </c>
      <c r="E301" s="16">
        <f>IF(D301=0,0,MIN(D301-F301,C301))</f>
        <v/>
      </c>
      <c r="F301" s="16">
        <f>IF(C301&gt;0.01,C301*Inputs!$B$64,0)</f>
        <v/>
      </c>
      <c r="G301" s="16">
        <f>IF(C301-E301&gt;0,MIN(Inputs!$B$20,C301-E301),0)</f>
        <v/>
      </c>
      <c r="H301" s="17">
        <f>IF(Inputs!$B$62+SUM(E$5:E301)+SUM(G$5:G300)&lt;Inputs!$B$72,1,0)</f>
        <v/>
      </c>
      <c r="I301" s="16">
        <f>MAX(0,C301-E301-G301)</f>
        <v/>
      </c>
    </row>
    <row r="302">
      <c r="A302" t="n">
        <v>298</v>
      </c>
      <c r="B302" s="15">
        <f>CEILING(A302/12,1)</f>
        <v/>
      </c>
      <c r="C302" s="16">
        <f>I301</f>
        <v/>
      </c>
      <c r="D302" s="16">
        <f>IF(AND(C302&gt;0.01,A302&lt;=Inputs!$B$65),Inputs!$B$66,0)</f>
        <v/>
      </c>
      <c r="E302" s="16">
        <f>IF(D302=0,0,MIN(D302-F302,C302))</f>
        <v/>
      </c>
      <c r="F302" s="16">
        <f>IF(C302&gt;0.01,C302*Inputs!$B$64,0)</f>
        <v/>
      </c>
      <c r="G302" s="16">
        <f>IF(C302-E302&gt;0,MIN(Inputs!$B$20,C302-E302),0)</f>
        <v/>
      </c>
      <c r="H302" s="17">
        <f>IF(Inputs!$B$62+SUM(E$5:E302)+SUM(G$5:G301)&lt;Inputs!$B$72,1,0)</f>
        <v/>
      </c>
      <c r="I302" s="16">
        <f>MAX(0,C302-E302-G302)</f>
        <v/>
      </c>
    </row>
    <row r="303">
      <c r="A303" t="n">
        <v>299</v>
      </c>
      <c r="B303" s="15">
        <f>CEILING(A303/12,1)</f>
        <v/>
      </c>
      <c r="C303" s="16">
        <f>I302</f>
        <v/>
      </c>
      <c r="D303" s="16">
        <f>IF(AND(C303&gt;0.01,A303&lt;=Inputs!$B$65),Inputs!$B$66,0)</f>
        <v/>
      </c>
      <c r="E303" s="16">
        <f>IF(D303=0,0,MIN(D303-F303,C303))</f>
        <v/>
      </c>
      <c r="F303" s="16">
        <f>IF(C303&gt;0.01,C303*Inputs!$B$64,0)</f>
        <v/>
      </c>
      <c r="G303" s="16">
        <f>IF(C303-E303&gt;0,MIN(Inputs!$B$20,C303-E303),0)</f>
        <v/>
      </c>
      <c r="H303" s="17">
        <f>IF(Inputs!$B$62+SUM(E$5:E303)+SUM(G$5:G302)&lt;Inputs!$B$72,1,0)</f>
        <v/>
      </c>
      <c r="I303" s="16">
        <f>MAX(0,C303-E303-G303)</f>
        <v/>
      </c>
    </row>
    <row r="304">
      <c r="A304" t="n">
        <v>300</v>
      </c>
      <c r="B304" s="15">
        <f>CEILING(A304/12,1)</f>
        <v/>
      </c>
      <c r="C304" s="16">
        <f>I303</f>
        <v/>
      </c>
      <c r="D304" s="16">
        <f>IF(AND(C304&gt;0.01,A304&lt;=Inputs!$B$65),Inputs!$B$66,0)</f>
        <v/>
      </c>
      <c r="E304" s="16">
        <f>IF(D304=0,0,MIN(D304-F304,C304))</f>
        <v/>
      </c>
      <c r="F304" s="16">
        <f>IF(C304&gt;0.01,C304*Inputs!$B$64,0)</f>
        <v/>
      </c>
      <c r="G304" s="16">
        <f>IF(C304-E304&gt;0,MIN(Inputs!$B$20,C304-E304),0)</f>
        <v/>
      </c>
      <c r="H304" s="17">
        <f>IF(Inputs!$B$62+SUM(E$5:E304)+SUM(G$5:G303)&lt;Inputs!$B$72,1,0)</f>
        <v/>
      </c>
      <c r="I304" s="16">
        <f>MAX(0,C304-E304-G304)</f>
        <v/>
      </c>
    </row>
    <row r="305">
      <c r="A305" t="n">
        <v>301</v>
      </c>
      <c r="B305" s="15">
        <f>CEILING(A305/12,1)</f>
        <v/>
      </c>
      <c r="C305" s="16">
        <f>I304</f>
        <v/>
      </c>
      <c r="D305" s="16">
        <f>IF(AND(C305&gt;0.01,A305&lt;=Inputs!$B$65),Inputs!$B$66,0)</f>
        <v/>
      </c>
      <c r="E305" s="16">
        <f>IF(D305=0,0,MIN(D305-F305,C305))</f>
        <v/>
      </c>
      <c r="F305" s="16">
        <f>IF(C305&gt;0.01,C305*Inputs!$B$64,0)</f>
        <v/>
      </c>
      <c r="G305" s="16">
        <f>IF(C305-E305&gt;0,MIN(Inputs!$B$20,C305-E305),0)</f>
        <v/>
      </c>
      <c r="H305" s="17">
        <f>IF(Inputs!$B$62+SUM(E$5:E305)+SUM(G$5:G304)&lt;Inputs!$B$72,1,0)</f>
        <v/>
      </c>
      <c r="I305" s="16">
        <f>MAX(0,C305-E305-G305)</f>
        <v/>
      </c>
    </row>
    <row r="306">
      <c r="A306" t="n">
        <v>302</v>
      </c>
      <c r="B306" s="15">
        <f>CEILING(A306/12,1)</f>
        <v/>
      </c>
      <c r="C306" s="16">
        <f>I305</f>
        <v/>
      </c>
      <c r="D306" s="16">
        <f>IF(AND(C306&gt;0.01,A306&lt;=Inputs!$B$65),Inputs!$B$66,0)</f>
        <v/>
      </c>
      <c r="E306" s="16">
        <f>IF(D306=0,0,MIN(D306-F306,C306))</f>
        <v/>
      </c>
      <c r="F306" s="16">
        <f>IF(C306&gt;0.01,C306*Inputs!$B$64,0)</f>
        <v/>
      </c>
      <c r="G306" s="16">
        <f>IF(C306-E306&gt;0,MIN(Inputs!$B$20,C306-E306),0)</f>
        <v/>
      </c>
      <c r="H306" s="17">
        <f>IF(Inputs!$B$62+SUM(E$5:E306)+SUM(G$5:G305)&lt;Inputs!$B$72,1,0)</f>
        <v/>
      </c>
      <c r="I306" s="16">
        <f>MAX(0,C306-E306-G306)</f>
        <v/>
      </c>
    </row>
    <row r="307">
      <c r="A307" t="n">
        <v>303</v>
      </c>
      <c r="B307" s="15">
        <f>CEILING(A307/12,1)</f>
        <v/>
      </c>
      <c r="C307" s="16">
        <f>I306</f>
        <v/>
      </c>
      <c r="D307" s="16">
        <f>IF(AND(C307&gt;0.01,A307&lt;=Inputs!$B$65),Inputs!$B$66,0)</f>
        <v/>
      </c>
      <c r="E307" s="16">
        <f>IF(D307=0,0,MIN(D307-F307,C307))</f>
        <v/>
      </c>
      <c r="F307" s="16">
        <f>IF(C307&gt;0.01,C307*Inputs!$B$64,0)</f>
        <v/>
      </c>
      <c r="G307" s="16">
        <f>IF(C307-E307&gt;0,MIN(Inputs!$B$20,C307-E307),0)</f>
        <v/>
      </c>
      <c r="H307" s="17">
        <f>IF(Inputs!$B$62+SUM(E$5:E307)+SUM(G$5:G306)&lt;Inputs!$B$72,1,0)</f>
        <v/>
      </c>
      <c r="I307" s="16">
        <f>MAX(0,C307-E307-G307)</f>
        <v/>
      </c>
    </row>
    <row r="308">
      <c r="A308" t="n">
        <v>304</v>
      </c>
      <c r="B308" s="15">
        <f>CEILING(A308/12,1)</f>
        <v/>
      </c>
      <c r="C308" s="16">
        <f>I307</f>
        <v/>
      </c>
      <c r="D308" s="16">
        <f>IF(AND(C308&gt;0.01,A308&lt;=Inputs!$B$65),Inputs!$B$66,0)</f>
        <v/>
      </c>
      <c r="E308" s="16">
        <f>IF(D308=0,0,MIN(D308-F308,C308))</f>
        <v/>
      </c>
      <c r="F308" s="16">
        <f>IF(C308&gt;0.01,C308*Inputs!$B$64,0)</f>
        <v/>
      </c>
      <c r="G308" s="16">
        <f>IF(C308-E308&gt;0,MIN(Inputs!$B$20,C308-E308),0)</f>
        <v/>
      </c>
      <c r="H308" s="17">
        <f>IF(Inputs!$B$62+SUM(E$5:E308)+SUM(G$5:G307)&lt;Inputs!$B$72,1,0)</f>
        <v/>
      </c>
      <c r="I308" s="16">
        <f>MAX(0,C308-E308-G308)</f>
        <v/>
      </c>
    </row>
    <row r="309">
      <c r="A309" t="n">
        <v>305</v>
      </c>
      <c r="B309" s="15">
        <f>CEILING(A309/12,1)</f>
        <v/>
      </c>
      <c r="C309" s="16">
        <f>I308</f>
        <v/>
      </c>
      <c r="D309" s="16">
        <f>IF(AND(C309&gt;0.01,A309&lt;=Inputs!$B$65),Inputs!$B$66,0)</f>
        <v/>
      </c>
      <c r="E309" s="16">
        <f>IF(D309=0,0,MIN(D309-F309,C309))</f>
        <v/>
      </c>
      <c r="F309" s="16">
        <f>IF(C309&gt;0.01,C309*Inputs!$B$64,0)</f>
        <v/>
      </c>
      <c r="G309" s="16">
        <f>IF(C309-E309&gt;0,MIN(Inputs!$B$20,C309-E309),0)</f>
        <v/>
      </c>
      <c r="H309" s="17">
        <f>IF(Inputs!$B$62+SUM(E$5:E309)+SUM(G$5:G308)&lt;Inputs!$B$72,1,0)</f>
        <v/>
      </c>
      <c r="I309" s="16">
        <f>MAX(0,C309-E309-G309)</f>
        <v/>
      </c>
    </row>
    <row r="310">
      <c r="A310" t="n">
        <v>306</v>
      </c>
      <c r="B310" s="15">
        <f>CEILING(A310/12,1)</f>
        <v/>
      </c>
      <c r="C310" s="16">
        <f>I309</f>
        <v/>
      </c>
      <c r="D310" s="16">
        <f>IF(AND(C310&gt;0.01,A310&lt;=Inputs!$B$65),Inputs!$B$66,0)</f>
        <v/>
      </c>
      <c r="E310" s="16">
        <f>IF(D310=0,0,MIN(D310-F310,C310))</f>
        <v/>
      </c>
      <c r="F310" s="16">
        <f>IF(C310&gt;0.01,C310*Inputs!$B$64,0)</f>
        <v/>
      </c>
      <c r="G310" s="16">
        <f>IF(C310-E310&gt;0,MIN(Inputs!$B$20,C310-E310),0)</f>
        <v/>
      </c>
      <c r="H310" s="17">
        <f>IF(Inputs!$B$62+SUM(E$5:E310)+SUM(G$5:G309)&lt;Inputs!$B$72,1,0)</f>
        <v/>
      </c>
      <c r="I310" s="16">
        <f>MAX(0,C310-E310-G310)</f>
        <v/>
      </c>
    </row>
    <row r="311">
      <c r="A311" t="n">
        <v>307</v>
      </c>
      <c r="B311" s="15">
        <f>CEILING(A311/12,1)</f>
        <v/>
      </c>
      <c r="C311" s="16">
        <f>I310</f>
        <v/>
      </c>
      <c r="D311" s="16">
        <f>IF(AND(C311&gt;0.01,A311&lt;=Inputs!$B$65),Inputs!$B$66,0)</f>
        <v/>
      </c>
      <c r="E311" s="16">
        <f>IF(D311=0,0,MIN(D311-F311,C311))</f>
        <v/>
      </c>
      <c r="F311" s="16">
        <f>IF(C311&gt;0.01,C311*Inputs!$B$64,0)</f>
        <v/>
      </c>
      <c r="G311" s="16">
        <f>IF(C311-E311&gt;0,MIN(Inputs!$B$20,C311-E311),0)</f>
        <v/>
      </c>
      <c r="H311" s="17">
        <f>IF(Inputs!$B$62+SUM(E$5:E311)+SUM(G$5:G310)&lt;Inputs!$B$72,1,0)</f>
        <v/>
      </c>
      <c r="I311" s="16">
        <f>MAX(0,C311-E311-G311)</f>
        <v/>
      </c>
    </row>
    <row r="312">
      <c r="A312" t="n">
        <v>308</v>
      </c>
      <c r="B312" s="15">
        <f>CEILING(A312/12,1)</f>
        <v/>
      </c>
      <c r="C312" s="16">
        <f>I311</f>
        <v/>
      </c>
      <c r="D312" s="16">
        <f>IF(AND(C312&gt;0.01,A312&lt;=Inputs!$B$65),Inputs!$B$66,0)</f>
        <v/>
      </c>
      <c r="E312" s="16">
        <f>IF(D312=0,0,MIN(D312-F312,C312))</f>
        <v/>
      </c>
      <c r="F312" s="16">
        <f>IF(C312&gt;0.01,C312*Inputs!$B$64,0)</f>
        <v/>
      </c>
      <c r="G312" s="16">
        <f>IF(C312-E312&gt;0,MIN(Inputs!$B$20,C312-E312),0)</f>
        <v/>
      </c>
      <c r="H312" s="17">
        <f>IF(Inputs!$B$62+SUM(E$5:E312)+SUM(G$5:G311)&lt;Inputs!$B$72,1,0)</f>
        <v/>
      </c>
      <c r="I312" s="16">
        <f>MAX(0,C312-E312-G312)</f>
        <v/>
      </c>
    </row>
    <row r="313">
      <c r="A313" t="n">
        <v>309</v>
      </c>
      <c r="B313" s="15">
        <f>CEILING(A313/12,1)</f>
        <v/>
      </c>
      <c r="C313" s="16">
        <f>I312</f>
        <v/>
      </c>
      <c r="D313" s="16">
        <f>IF(AND(C313&gt;0.01,A313&lt;=Inputs!$B$65),Inputs!$B$66,0)</f>
        <v/>
      </c>
      <c r="E313" s="16">
        <f>IF(D313=0,0,MIN(D313-F313,C313))</f>
        <v/>
      </c>
      <c r="F313" s="16">
        <f>IF(C313&gt;0.01,C313*Inputs!$B$64,0)</f>
        <v/>
      </c>
      <c r="G313" s="16">
        <f>IF(C313-E313&gt;0,MIN(Inputs!$B$20,C313-E313),0)</f>
        <v/>
      </c>
      <c r="H313" s="17">
        <f>IF(Inputs!$B$62+SUM(E$5:E313)+SUM(G$5:G312)&lt;Inputs!$B$72,1,0)</f>
        <v/>
      </c>
      <c r="I313" s="16">
        <f>MAX(0,C313-E313-G313)</f>
        <v/>
      </c>
    </row>
    <row r="314">
      <c r="A314" t="n">
        <v>310</v>
      </c>
      <c r="B314" s="15">
        <f>CEILING(A314/12,1)</f>
        <v/>
      </c>
      <c r="C314" s="16">
        <f>I313</f>
        <v/>
      </c>
      <c r="D314" s="16">
        <f>IF(AND(C314&gt;0.01,A314&lt;=Inputs!$B$65),Inputs!$B$66,0)</f>
        <v/>
      </c>
      <c r="E314" s="16">
        <f>IF(D314=0,0,MIN(D314-F314,C314))</f>
        <v/>
      </c>
      <c r="F314" s="16">
        <f>IF(C314&gt;0.01,C314*Inputs!$B$64,0)</f>
        <v/>
      </c>
      <c r="G314" s="16">
        <f>IF(C314-E314&gt;0,MIN(Inputs!$B$20,C314-E314),0)</f>
        <v/>
      </c>
      <c r="H314" s="17">
        <f>IF(Inputs!$B$62+SUM(E$5:E314)+SUM(G$5:G313)&lt;Inputs!$B$72,1,0)</f>
        <v/>
      </c>
      <c r="I314" s="16">
        <f>MAX(0,C314-E314-G314)</f>
        <v/>
      </c>
    </row>
    <row r="315">
      <c r="A315" t="n">
        <v>311</v>
      </c>
      <c r="B315" s="15">
        <f>CEILING(A315/12,1)</f>
        <v/>
      </c>
      <c r="C315" s="16">
        <f>I314</f>
        <v/>
      </c>
      <c r="D315" s="16">
        <f>IF(AND(C315&gt;0.01,A315&lt;=Inputs!$B$65),Inputs!$B$66,0)</f>
        <v/>
      </c>
      <c r="E315" s="16">
        <f>IF(D315=0,0,MIN(D315-F315,C315))</f>
        <v/>
      </c>
      <c r="F315" s="16">
        <f>IF(C315&gt;0.01,C315*Inputs!$B$64,0)</f>
        <v/>
      </c>
      <c r="G315" s="16">
        <f>IF(C315-E315&gt;0,MIN(Inputs!$B$20,C315-E315),0)</f>
        <v/>
      </c>
      <c r="H315" s="17">
        <f>IF(Inputs!$B$62+SUM(E$5:E315)+SUM(G$5:G314)&lt;Inputs!$B$72,1,0)</f>
        <v/>
      </c>
      <c r="I315" s="16">
        <f>MAX(0,C315-E315-G315)</f>
        <v/>
      </c>
    </row>
    <row r="316">
      <c r="A316" t="n">
        <v>312</v>
      </c>
      <c r="B316" s="15">
        <f>CEILING(A316/12,1)</f>
        <v/>
      </c>
      <c r="C316" s="16">
        <f>I315</f>
        <v/>
      </c>
      <c r="D316" s="16">
        <f>IF(AND(C316&gt;0.01,A316&lt;=Inputs!$B$65),Inputs!$B$66,0)</f>
        <v/>
      </c>
      <c r="E316" s="16">
        <f>IF(D316=0,0,MIN(D316-F316,C316))</f>
        <v/>
      </c>
      <c r="F316" s="16">
        <f>IF(C316&gt;0.01,C316*Inputs!$B$64,0)</f>
        <v/>
      </c>
      <c r="G316" s="16">
        <f>IF(C316-E316&gt;0,MIN(Inputs!$B$20,C316-E316),0)</f>
        <v/>
      </c>
      <c r="H316" s="17">
        <f>IF(Inputs!$B$62+SUM(E$5:E316)+SUM(G$5:G315)&lt;Inputs!$B$72,1,0)</f>
        <v/>
      </c>
      <c r="I316" s="16">
        <f>MAX(0,C316-E316-G316)</f>
        <v/>
      </c>
    </row>
    <row r="317">
      <c r="A317" t="n">
        <v>313</v>
      </c>
      <c r="B317" s="15">
        <f>CEILING(A317/12,1)</f>
        <v/>
      </c>
      <c r="C317" s="16">
        <f>I316</f>
        <v/>
      </c>
      <c r="D317" s="16">
        <f>IF(AND(C317&gt;0.01,A317&lt;=Inputs!$B$65),Inputs!$B$66,0)</f>
        <v/>
      </c>
      <c r="E317" s="16">
        <f>IF(D317=0,0,MIN(D317-F317,C317))</f>
        <v/>
      </c>
      <c r="F317" s="16">
        <f>IF(C317&gt;0.01,C317*Inputs!$B$64,0)</f>
        <v/>
      </c>
      <c r="G317" s="16">
        <f>IF(C317-E317&gt;0,MIN(Inputs!$B$20,C317-E317),0)</f>
        <v/>
      </c>
      <c r="H317" s="17">
        <f>IF(Inputs!$B$62+SUM(E$5:E317)+SUM(G$5:G316)&lt;Inputs!$B$72,1,0)</f>
        <v/>
      </c>
      <c r="I317" s="16">
        <f>MAX(0,C317-E317-G317)</f>
        <v/>
      </c>
    </row>
    <row r="318">
      <c r="A318" t="n">
        <v>314</v>
      </c>
      <c r="B318" s="15">
        <f>CEILING(A318/12,1)</f>
        <v/>
      </c>
      <c r="C318" s="16">
        <f>I317</f>
        <v/>
      </c>
      <c r="D318" s="16">
        <f>IF(AND(C318&gt;0.01,A318&lt;=Inputs!$B$65),Inputs!$B$66,0)</f>
        <v/>
      </c>
      <c r="E318" s="16">
        <f>IF(D318=0,0,MIN(D318-F318,C318))</f>
        <v/>
      </c>
      <c r="F318" s="16">
        <f>IF(C318&gt;0.01,C318*Inputs!$B$64,0)</f>
        <v/>
      </c>
      <c r="G318" s="16">
        <f>IF(C318-E318&gt;0,MIN(Inputs!$B$20,C318-E318),0)</f>
        <v/>
      </c>
      <c r="H318" s="17">
        <f>IF(Inputs!$B$62+SUM(E$5:E318)+SUM(G$5:G317)&lt;Inputs!$B$72,1,0)</f>
        <v/>
      </c>
      <c r="I318" s="16">
        <f>MAX(0,C318-E318-G318)</f>
        <v/>
      </c>
    </row>
    <row r="319">
      <c r="A319" t="n">
        <v>315</v>
      </c>
      <c r="B319" s="15">
        <f>CEILING(A319/12,1)</f>
        <v/>
      </c>
      <c r="C319" s="16">
        <f>I318</f>
        <v/>
      </c>
      <c r="D319" s="16">
        <f>IF(AND(C319&gt;0.01,A319&lt;=Inputs!$B$65),Inputs!$B$66,0)</f>
        <v/>
      </c>
      <c r="E319" s="16">
        <f>IF(D319=0,0,MIN(D319-F319,C319))</f>
        <v/>
      </c>
      <c r="F319" s="16">
        <f>IF(C319&gt;0.01,C319*Inputs!$B$64,0)</f>
        <v/>
      </c>
      <c r="G319" s="16">
        <f>IF(C319-E319&gt;0,MIN(Inputs!$B$20,C319-E319),0)</f>
        <v/>
      </c>
      <c r="H319" s="17">
        <f>IF(Inputs!$B$62+SUM(E$5:E319)+SUM(G$5:G318)&lt;Inputs!$B$72,1,0)</f>
        <v/>
      </c>
      <c r="I319" s="16">
        <f>MAX(0,C319-E319-G319)</f>
        <v/>
      </c>
    </row>
    <row r="320">
      <c r="A320" t="n">
        <v>316</v>
      </c>
      <c r="B320" s="15">
        <f>CEILING(A320/12,1)</f>
        <v/>
      </c>
      <c r="C320" s="16">
        <f>I319</f>
        <v/>
      </c>
      <c r="D320" s="16">
        <f>IF(AND(C320&gt;0.01,A320&lt;=Inputs!$B$65),Inputs!$B$66,0)</f>
        <v/>
      </c>
      <c r="E320" s="16">
        <f>IF(D320=0,0,MIN(D320-F320,C320))</f>
        <v/>
      </c>
      <c r="F320" s="16">
        <f>IF(C320&gt;0.01,C320*Inputs!$B$64,0)</f>
        <v/>
      </c>
      <c r="G320" s="16">
        <f>IF(C320-E320&gt;0,MIN(Inputs!$B$20,C320-E320),0)</f>
        <v/>
      </c>
      <c r="H320" s="17">
        <f>IF(Inputs!$B$62+SUM(E$5:E320)+SUM(G$5:G319)&lt;Inputs!$B$72,1,0)</f>
        <v/>
      </c>
      <c r="I320" s="16">
        <f>MAX(0,C320-E320-G320)</f>
        <v/>
      </c>
    </row>
    <row r="321">
      <c r="A321" t="n">
        <v>317</v>
      </c>
      <c r="B321" s="15">
        <f>CEILING(A321/12,1)</f>
        <v/>
      </c>
      <c r="C321" s="16">
        <f>I320</f>
        <v/>
      </c>
      <c r="D321" s="16">
        <f>IF(AND(C321&gt;0.01,A321&lt;=Inputs!$B$65),Inputs!$B$66,0)</f>
        <v/>
      </c>
      <c r="E321" s="16">
        <f>IF(D321=0,0,MIN(D321-F321,C321))</f>
        <v/>
      </c>
      <c r="F321" s="16">
        <f>IF(C321&gt;0.01,C321*Inputs!$B$64,0)</f>
        <v/>
      </c>
      <c r="G321" s="16">
        <f>IF(C321-E321&gt;0,MIN(Inputs!$B$20,C321-E321),0)</f>
        <v/>
      </c>
      <c r="H321" s="17">
        <f>IF(Inputs!$B$62+SUM(E$5:E321)+SUM(G$5:G320)&lt;Inputs!$B$72,1,0)</f>
        <v/>
      </c>
      <c r="I321" s="16">
        <f>MAX(0,C321-E321-G321)</f>
        <v/>
      </c>
    </row>
    <row r="322">
      <c r="A322" t="n">
        <v>318</v>
      </c>
      <c r="B322" s="15">
        <f>CEILING(A322/12,1)</f>
        <v/>
      </c>
      <c r="C322" s="16">
        <f>I321</f>
        <v/>
      </c>
      <c r="D322" s="16">
        <f>IF(AND(C322&gt;0.01,A322&lt;=Inputs!$B$65),Inputs!$B$66,0)</f>
        <v/>
      </c>
      <c r="E322" s="16">
        <f>IF(D322=0,0,MIN(D322-F322,C322))</f>
        <v/>
      </c>
      <c r="F322" s="16">
        <f>IF(C322&gt;0.01,C322*Inputs!$B$64,0)</f>
        <v/>
      </c>
      <c r="G322" s="16">
        <f>IF(C322-E322&gt;0,MIN(Inputs!$B$20,C322-E322),0)</f>
        <v/>
      </c>
      <c r="H322" s="17">
        <f>IF(Inputs!$B$62+SUM(E$5:E322)+SUM(G$5:G321)&lt;Inputs!$B$72,1,0)</f>
        <v/>
      </c>
      <c r="I322" s="16">
        <f>MAX(0,C322-E322-G322)</f>
        <v/>
      </c>
    </row>
    <row r="323">
      <c r="A323" t="n">
        <v>319</v>
      </c>
      <c r="B323" s="15">
        <f>CEILING(A323/12,1)</f>
        <v/>
      </c>
      <c r="C323" s="16">
        <f>I322</f>
        <v/>
      </c>
      <c r="D323" s="16">
        <f>IF(AND(C323&gt;0.01,A323&lt;=Inputs!$B$65),Inputs!$B$66,0)</f>
        <v/>
      </c>
      <c r="E323" s="16">
        <f>IF(D323=0,0,MIN(D323-F323,C323))</f>
        <v/>
      </c>
      <c r="F323" s="16">
        <f>IF(C323&gt;0.01,C323*Inputs!$B$64,0)</f>
        <v/>
      </c>
      <c r="G323" s="16">
        <f>IF(C323-E323&gt;0,MIN(Inputs!$B$20,C323-E323),0)</f>
        <v/>
      </c>
      <c r="H323" s="17">
        <f>IF(Inputs!$B$62+SUM(E$5:E323)+SUM(G$5:G322)&lt;Inputs!$B$72,1,0)</f>
        <v/>
      </c>
      <c r="I323" s="16">
        <f>MAX(0,C323-E323-G323)</f>
        <v/>
      </c>
    </row>
    <row r="324">
      <c r="A324" t="n">
        <v>320</v>
      </c>
      <c r="B324" s="15">
        <f>CEILING(A324/12,1)</f>
        <v/>
      </c>
      <c r="C324" s="16">
        <f>I323</f>
        <v/>
      </c>
      <c r="D324" s="16">
        <f>IF(AND(C324&gt;0.01,A324&lt;=Inputs!$B$65),Inputs!$B$66,0)</f>
        <v/>
      </c>
      <c r="E324" s="16">
        <f>IF(D324=0,0,MIN(D324-F324,C324))</f>
        <v/>
      </c>
      <c r="F324" s="16">
        <f>IF(C324&gt;0.01,C324*Inputs!$B$64,0)</f>
        <v/>
      </c>
      <c r="G324" s="16">
        <f>IF(C324-E324&gt;0,MIN(Inputs!$B$20,C324-E324),0)</f>
        <v/>
      </c>
      <c r="H324" s="17">
        <f>IF(Inputs!$B$62+SUM(E$5:E324)+SUM(G$5:G323)&lt;Inputs!$B$72,1,0)</f>
        <v/>
      </c>
      <c r="I324" s="16">
        <f>MAX(0,C324-E324-G324)</f>
        <v/>
      </c>
    </row>
    <row r="325">
      <c r="A325" t="n">
        <v>321</v>
      </c>
      <c r="B325" s="15">
        <f>CEILING(A325/12,1)</f>
        <v/>
      </c>
      <c r="C325" s="16">
        <f>I324</f>
        <v/>
      </c>
      <c r="D325" s="16">
        <f>IF(AND(C325&gt;0.01,A325&lt;=Inputs!$B$65),Inputs!$B$66,0)</f>
        <v/>
      </c>
      <c r="E325" s="16">
        <f>IF(D325=0,0,MIN(D325-F325,C325))</f>
        <v/>
      </c>
      <c r="F325" s="16">
        <f>IF(C325&gt;0.01,C325*Inputs!$B$64,0)</f>
        <v/>
      </c>
      <c r="G325" s="16">
        <f>IF(C325-E325&gt;0,MIN(Inputs!$B$20,C325-E325),0)</f>
        <v/>
      </c>
      <c r="H325" s="17">
        <f>IF(Inputs!$B$62+SUM(E$5:E325)+SUM(G$5:G324)&lt;Inputs!$B$72,1,0)</f>
        <v/>
      </c>
      <c r="I325" s="16">
        <f>MAX(0,C325-E325-G325)</f>
        <v/>
      </c>
    </row>
    <row r="326">
      <c r="A326" t="n">
        <v>322</v>
      </c>
      <c r="B326" s="15">
        <f>CEILING(A326/12,1)</f>
        <v/>
      </c>
      <c r="C326" s="16">
        <f>I325</f>
        <v/>
      </c>
      <c r="D326" s="16">
        <f>IF(AND(C326&gt;0.01,A326&lt;=Inputs!$B$65),Inputs!$B$66,0)</f>
        <v/>
      </c>
      <c r="E326" s="16">
        <f>IF(D326=0,0,MIN(D326-F326,C326))</f>
        <v/>
      </c>
      <c r="F326" s="16">
        <f>IF(C326&gt;0.01,C326*Inputs!$B$64,0)</f>
        <v/>
      </c>
      <c r="G326" s="16">
        <f>IF(C326-E326&gt;0,MIN(Inputs!$B$20,C326-E326),0)</f>
        <v/>
      </c>
      <c r="H326" s="17">
        <f>IF(Inputs!$B$62+SUM(E$5:E326)+SUM(G$5:G325)&lt;Inputs!$B$72,1,0)</f>
        <v/>
      </c>
      <c r="I326" s="16">
        <f>MAX(0,C326-E326-G326)</f>
        <v/>
      </c>
    </row>
    <row r="327">
      <c r="A327" t="n">
        <v>323</v>
      </c>
      <c r="B327" s="15">
        <f>CEILING(A327/12,1)</f>
        <v/>
      </c>
      <c r="C327" s="16">
        <f>I326</f>
        <v/>
      </c>
      <c r="D327" s="16">
        <f>IF(AND(C327&gt;0.01,A327&lt;=Inputs!$B$65),Inputs!$B$66,0)</f>
        <v/>
      </c>
      <c r="E327" s="16">
        <f>IF(D327=0,0,MIN(D327-F327,C327))</f>
        <v/>
      </c>
      <c r="F327" s="16">
        <f>IF(C327&gt;0.01,C327*Inputs!$B$64,0)</f>
        <v/>
      </c>
      <c r="G327" s="16">
        <f>IF(C327-E327&gt;0,MIN(Inputs!$B$20,C327-E327),0)</f>
        <v/>
      </c>
      <c r="H327" s="17">
        <f>IF(Inputs!$B$62+SUM(E$5:E327)+SUM(G$5:G326)&lt;Inputs!$B$72,1,0)</f>
        <v/>
      </c>
      <c r="I327" s="16">
        <f>MAX(0,C327-E327-G327)</f>
        <v/>
      </c>
    </row>
    <row r="328">
      <c r="A328" t="n">
        <v>324</v>
      </c>
      <c r="B328" s="15">
        <f>CEILING(A328/12,1)</f>
        <v/>
      </c>
      <c r="C328" s="16">
        <f>I327</f>
        <v/>
      </c>
      <c r="D328" s="16">
        <f>IF(AND(C328&gt;0.01,A328&lt;=Inputs!$B$65),Inputs!$B$66,0)</f>
        <v/>
      </c>
      <c r="E328" s="16">
        <f>IF(D328=0,0,MIN(D328-F328,C328))</f>
        <v/>
      </c>
      <c r="F328" s="16">
        <f>IF(C328&gt;0.01,C328*Inputs!$B$64,0)</f>
        <v/>
      </c>
      <c r="G328" s="16">
        <f>IF(C328-E328&gt;0,MIN(Inputs!$B$20,C328-E328),0)</f>
        <v/>
      </c>
      <c r="H328" s="17">
        <f>IF(Inputs!$B$62+SUM(E$5:E328)+SUM(G$5:G327)&lt;Inputs!$B$72,1,0)</f>
        <v/>
      </c>
      <c r="I328" s="16">
        <f>MAX(0,C328-E328-G328)</f>
        <v/>
      </c>
    </row>
    <row r="329">
      <c r="A329" t="n">
        <v>325</v>
      </c>
      <c r="B329" s="15">
        <f>CEILING(A329/12,1)</f>
        <v/>
      </c>
      <c r="C329" s="16">
        <f>I328</f>
        <v/>
      </c>
      <c r="D329" s="16">
        <f>IF(AND(C329&gt;0.01,A329&lt;=Inputs!$B$65),Inputs!$B$66,0)</f>
        <v/>
      </c>
      <c r="E329" s="16">
        <f>IF(D329=0,0,MIN(D329-F329,C329))</f>
        <v/>
      </c>
      <c r="F329" s="16">
        <f>IF(C329&gt;0.01,C329*Inputs!$B$64,0)</f>
        <v/>
      </c>
      <c r="G329" s="16">
        <f>IF(C329-E329&gt;0,MIN(Inputs!$B$20,C329-E329),0)</f>
        <v/>
      </c>
      <c r="H329" s="17">
        <f>IF(Inputs!$B$62+SUM(E$5:E329)+SUM(G$5:G328)&lt;Inputs!$B$72,1,0)</f>
        <v/>
      </c>
      <c r="I329" s="16">
        <f>MAX(0,C329-E329-G329)</f>
        <v/>
      </c>
    </row>
    <row r="330">
      <c r="A330" t="n">
        <v>326</v>
      </c>
      <c r="B330" s="15">
        <f>CEILING(A330/12,1)</f>
        <v/>
      </c>
      <c r="C330" s="16">
        <f>I329</f>
        <v/>
      </c>
      <c r="D330" s="16">
        <f>IF(AND(C330&gt;0.01,A330&lt;=Inputs!$B$65),Inputs!$B$66,0)</f>
        <v/>
      </c>
      <c r="E330" s="16">
        <f>IF(D330=0,0,MIN(D330-F330,C330))</f>
        <v/>
      </c>
      <c r="F330" s="16">
        <f>IF(C330&gt;0.01,C330*Inputs!$B$64,0)</f>
        <v/>
      </c>
      <c r="G330" s="16">
        <f>IF(C330-E330&gt;0,MIN(Inputs!$B$20,C330-E330),0)</f>
        <v/>
      </c>
      <c r="H330" s="17">
        <f>IF(Inputs!$B$62+SUM(E$5:E330)+SUM(G$5:G329)&lt;Inputs!$B$72,1,0)</f>
        <v/>
      </c>
      <c r="I330" s="16">
        <f>MAX(0,C330-E330-G330)</f>
        <v/>
      </c>
    </row>
    <row r="331">
      <c r="A331" t="n">
        <v>327</v>
      </c>
      <c r="B331" s="15">
        <f>CEILING(A331/12,1)</f>
        <v/>
      </c>
      <c r="C331" s="16">
        <f>I330</f>
        <v/>
      </c>
      <c r="D331" s="16">
        <f>IF(AND(C331&gt;0.01,A331&lt;=Inputs!$B$65),Inputs!$B$66,0)</f>
        <v/>
      </c>
      <c r="E331" s="16">
        <f>IF(D331=0,0,MIN(D331-F331,C331))</f>
        <v/>
      </c>
      <c r="F331" s="16">
        <f>IF(C331&gt;0.01,C331*Inputs!$B$64,0)</f>
        <v/>
      </c>
      <c r="G331" s="16">
        <f>IF(C331-E331&gt;0,MIN(Inputs!$B$20,C331-E331),0)</f>
        <v/>
      </c>
      <c r="H331" s="17">
        <f>IF(Inputs!$B$62+SUM(E$5:E331)+SUM(G$5:G330)&lt;Inputs!$B$72,1,0)</f>
        <v/>
      </c>
      <c r="I331" s="16">
        <f>MAX(0,C331-E331-G331)</f>
        <v/>
      </c>
    </row>
    <row r="332">
      <c r="A332" t="n">
        <v>328</v>
      </c>
      <c r="B332" s="15">
        <f>CEILING(A332/12,1)</f>
        <v/>
      </c>
      <c r="C332" s="16">
        <f>I331</f>
        <v/>
      </c>
      <c r="D332" s="16">
        <f>IF(AND(C332&gt;0.01,A332&lt;=Inputs!$B$65),Inputs!$B$66,0)</f>
        <v/>
      </c>
      <c r="E332" s="16">
        <f>IF(D332=0,0,MIN(D332-F332,C332))</f>
        <v/>
      </c>
      <c r="F332" s="16">
        <f>IF(C332&gt;0.01,C332*Inputs!$B$64,0)</f>
        <v/>
      </c>
      <c r="G332" s="16">
        <f>IF(C332-E332&gt;0,MIN(Inputs!$B$20,C332-E332),0)</f>
        <v/>
      </c>
      <c r="H332" s="17">
        <f>IF(Inputs!$B$62+SUM(E$5:E332)+SUM(G$5:G331)&lt;Inputs!$B$72,1,0)</f>
        <v/>
      </c>
      <c r="I332" s="16">
        <f>MAX(0,C332-E332-G332)</f>
        <v/>
      </c>
    </row>
    <row r="333">
      <c r="A333" t="n">
        <v>329</v>
      </c>
      <c r="B333" s="15">
        <f>CEILING(A333/12,1)</f>
        <v/>
      </c>
      <c r="C333" s="16">
        <f>I332</f>
        <v/>
      </c>
      <c r="D333" s="16">
        <f>IF(AND(C333&gt;0.01,A333&lt;=Inputs!$B$65),Inputs!$B$66,0)</f>
        <v/>
      </c>
      <c r="E333" s="16">
        <f>IF(D333=0,0,MIN(D333-F333,C333))</f>
        <v/>
      </c>
      <c r="F333" s="16">
        <f>IF(C333&gt;0.01,C333*Inputs!$B$64,0)</f>
        <v/>
      </c>
      <c r="G333" s="16">
        <f>IF(C333-E333&gt;0,MIN(Inputs!$B$20,C333-E333),0)</f>
        <v/>
      </c>
      <c r="H333" s="17">
        <f>IF(Inputs!$B$62+SUM(E$5:E333)+SUM(G$5:G332)&lt;Inputs!$B$72,1,0)</f>
        <v/>
      </c>
      <c r="I333" s="16">
        <f>MAX(0,C333-E333-G333)</f>
        <v/>
      </c>
    </row>
    <row r="334">
      <c r="A334" t="n">
        <v>330</v>
      </c>
      <c r="B334" s="15">
        <f>CEILING(A334/12,1)</f>
        <v/>
      </c>
      <c r="C334" s="16">
        <f>I333</f>
        <v/>
      </c>
      <c r="D334" s="16">
        <f>IF(AND(C334&gt;0.01,A334&lt;=Inputs!$B$65),Inputs!$B$66,0)</f>
        <v/>
      </c>
      <c r="E334" s="16">
        <f>IF(D334=0,0,MIN(D334-F334,C334))</f>
        <v/>
      </c>
      <c r="F334" s="16">
        <f>IF(C334&gt;0.01,C334*Inputs!$B$64,0)</f>
        <v/>
      </c>
      <c r="G334" s="16">
        <f>IF(C334-E334&gt;0,MIN(Inputs!$B$20,C334-E334),0)</f>
        <v/>
      </c>
      <c r="H334" s="17">
        <f>IF(Inputs!$B$62+SUM(E$5:E334)+SUM(G$5:G333)&lt;Inputs!$B$72,1,0)</f>
        <v/>
      </c>
      <c r="I334" s="16">
        <f>MAX(0,C334-E334-G334)</f>
        <v/>
      </c>
    </row>
    <row r="335">
      <c r="A335" t="n">
        <v>331</v>
      </c>
      <c r="B335" s="15">
        <f>CEILING(A335/12,1)</f>
        <v/>
      </c>
      <c r="C335" s="16">
        <f>I334</f>
        <v/>
      </c>
      <c r="D335" s="16">
        <f>IF(AND(C335&gt;0.01,A335&lt;=Inputs!$B$65),Inputs!$B$66,0)</f>
        <v/>
      </c>
      <c r="E335" s="16">
        <f>IF(D335=0,0,MIN(D335-F335,C335))</f>
        <v/>
      </c>
      <c r="F335" s="16">
        <f>IF(C335&gt;0.01,C335*Inputs!$B$64,0)</f>
        <v/>
      </c>
      <c r="G335" s="16">
        <f>IF(C335-E335&gt;0,MIN(Inputs!$B$20,C335-E335),0)</f>
        <v/>
      </c>
      <c r="H335" s="17">
        <f>IF(Inputs!$B$62+SUM(E$5:E335)+SUM(G$5:G334)&lt;Inputs!$B$72,1,0)</f>
        <v/>
      </c>
      <c r="I335" s="16">
        <f>MAX(0,C335-E335-G335)</f>
        <v/>
      </c>
    </row>
    <row r="336">
      <c r="A336" t="n">
        <v>332</v>
      </c>
      <c r="B336" s="15">
        <f>CEILING(A336/12,1)</f>
        <v/>
      </c>
      <c r="C336" s="16">
        <f>I335</f>
        <v/>
      </c>
      <c r="D336" s="16">
        <f>IF(AND(C336&gt;0.01,A336&lt;=Inputs!$B$65),Inputs!$B$66,0)</f>
        <v/>
      </c>
      <c r="E336" s="16">
        <f>IF(D336=0,0,MIN(D336-F336,C336))</f>
        <v/>
      </c>
      <c r="F336" s="16">
        <f>IF(C336&gt;0.01,C336*Inputs!$B$64,0)</f>
        <v/>
      </c>
      <c r="G336" s="16">
        <f>IF(C336-E336&gt;0,MIN(Inputs!$B$20,C336-E336),0)</f>
        <v/>
      </c>
      <c r="H336" s="17">
        <f>IF(Inputs!$B$62+SUM(E$5:E336)+SUM(G$5:G335)&lt;Inputs!$B$72,1,0)</f>
        <v/>
      </c>
      <c r="I336" s="16">
        <f>MAX(0,C336-E336-G336)</f>
        <v/>
      </c>
    </row>
    <row r="337">
      <c r="A337" t="n">
        <v>333</v>
      </c>
      <c r="B337" s="15">
        <f>CEILING(A337/12,1)</f>
        <v/>
      </c>
      <c r="C337" s="16">
        <f>I336</f>
        <v/>
      </c>
      <c r="D337" s="16">
        <f>IF(AND(C337&gt;0.01,A337&lt;=Inputs!$B$65),Inputs!$B$66,0)</f>
        <v/>
      </c>
      <c r="E337" s="16">
        <f>IF(D337=0,0,MIN(D337-F337,C337))</f>
        <v/>
      </c>
      <c r="F337" s="16">
        <f>IF(C337&gt;0.01,C337*Inputs!$B$64,0)</f>
        <v/>
      </c>
      <c r="G337" s="16">
        <f>IF(C337-E337&gt;0,MIN(Inputs!$B$20,C337-E337),0)</f>
        <v/>
      </c>
      <c r="H337" s="17">
        <f>IF(Inputs!$B$62+SUM(E$5:E337)+SUM(G$5:G336)&lt;Inputs!$B$72,1,0)</f>
        <v/>
      </c>
      <c r="I337" s="16">
        <f>MAX(0,C337-E337-G337)</f>
        <v/>
      </c>
    </row>
    <row r="338">
      <c r="A338" t="n">
        <v>334</v>
      </c>
      <c r="B338" s="15">
        <f>CEILING(A338/12,1)</f>
        <v/>
      </c>
      <c r="C338" s="16">
        <f>I337</f>
        <v/>
      </c>
      <c r="D338" s="16">
        <f>IF(AND(C338&gt;0.01,A338&lt;=Inputs!$B$65),Inputs!$B$66,0)</f>
        <v/>
      </c>
      <c r="E338" s="16">
        <f>IF(D338=0,0,MIN(D338-F338,C338))</f>
        <v/>
      </c>
      <c r="F338" s="16">
        <f>IF(C338&gt;0.01,C338*Inputs!$B$64,0)</f>
        <v/>
      </c>
      <c r="G338" s="16">
        <f>IF(C338-E338&gt;0,MIN(Inputs!$B$20,C338-E338),0)</f>
        <v/>
      </c>
      <c r="H338" s="17">
        <f>IF(Inputs!$B$62+SUM(E$5:E338)+SUM(G$5:G337)&lt;Inputs!$B$72,1,0)</f>
        <v/>
      </c>
      <c r="I338" s="16">
        <f>MAX(0,C338-E338-G338)</f>
        <v/>
      </c>
    </row>
    <row r="339">
      <c r="A339" t="n">
        <v>335</v>
      </c>
      <c r="B339" s="15">
        <f>CEILING(A339/12,1)</f>
        <v/>
      </c>
      <c r="C339" s="16">
        <f>I338</f>
        <v/>
      </c>
      <c r="D339" s="16">
        <f>IF(AND(C339&gt;0.01,A339&lt;=Inputs!$B$65),Inputs!$B$66,0)</f>
        <v/>
      </c>
      <c r="E339" s="16">
        <f>IF(D339=0,0,MIN(D339-F339,C339))</f>
        <v/>
      </c>
      <c r="F339" s="16">
        <f>IF(C339&gt;0.01,C339*Inputs!$B$64,0)</f>
        <v/>
      </c>
      <c r="G339" s="16">
        <f>IF(C339-E339&gt;0,MIN(Inputs!$B$20,C339-E339),0)</f>
        <v/>
      </c>
      <c r="H339" s="17">
        <f>IF(Inputs!$B$62+SUM(E$5:E339)+SUM(G$5:G338)&lt;Inputs!$B$72,1,0)</f>
        <v/>
      </c>
      <c r="I339" s="16">
        <f>MAX(0,C339-E339-G339)</f>
        <v/>
      </c>
    </row>
    <row r="340">
      <c r="A340" t="n">
        <v>336</v>
      </c>
      <c r="B340" s="15">
        <f>CEILING(A340/12,1)</f>
        <v/>
      </c>
      <c r="C340" s="16">
        <f>I339</f>
        <v/>
      </c>
      <c r="D340" s="16">
        <f>IF(AND(C340&gt;0.01,A340&lt;=Inputs!$B$65),Inputs!$B$66,0)</f>
        <v/>
      </c>
      <c r="E340" s="16">
        <f>IF(D340=0,0,MIN(D340-F340,C340))</f>
        <v/>
      </c>
      <c r="F340" s="16">
        <f>IF(C340&gt;0.01,C340*Inputs!$B$64,0)</f>
        <v/>
      </c>
      <c r="G340" s="16">
        <f>IF(C340-E340&gt;0,MIN(Inputs!$B$20,C340-E340),0)</f>
        <v/>
      </c>
      <c r="H340" s="17">
        <f>IF(Inputs!$B$62+SUM(E$5:E340)+SUM(G$5:G339)&lt;Inputs!$B$72,1,0)</f>
        <v/>
      </c>
      <c r="I340" s="16">
        <f>MAX(0,C340-E340-G340)</f>
        <v/>
      </c>
    </row>
    <row r="341">
      <c r="A341" t="n">
        <v>337</v>
      </c>
      <c r="B341" s="15">
        <f>CEILING(A341/12,1)</f>
        <v/>
      </c>
      <c r="C341" s="16">
        <f>I340</f>
        <v/>
      </c>
      <c r="D341" s="16">
        <f>IF(AND(C341&gt;0.01,A341&lt;=Inputs!$B$65),Inputs!$B$66,0)</f>
        <v/>
      </c>
      <c r="E341" s="16">
        <f>IF(D341=0,0,MIN(D341-F341,C341))</f>
        <v/>
      </c>
      <c r="F341" s="16">
        <f>IF(C341&gt;0.01,C341*Inputs!$B$64,0)</f>
        <v/>
      </c>
      <c r="G341" s="16">
        <f>IF(C341-E341&gt;0,MIN(Inputs!$B$20,C341-E341),0)</f>
        <v/>
      </c>
      <c r="H341" s="17">
        <f>IF(Inputs!$B$62+SUM(E$5:E341)+SUM(G$5:G340)&lt;Inputs!$B$72,1,0)</f>
        <v/>
      </c>
      <c r="I341" s="16">
        <f>MAX(0,C341-E341-G341)</f>
        <v/>
      </c>
    </row>
    <row r="342">
      <c r="A342" t="n">
        <v>338</v>
      </c>
      <c r="B342" s="15">
        <f>CEILING(A342/12,1)</f>
        <v/>
      </c>
      <c r="C342" s="16">
        <f>I341</f>
        <v/>
      </c>
      <c r="D342" s="16">
        <f>IF(AND(C342&gt;0.01,A342&lt;=Inputs!$B$65),Inputs!$B$66,0)</f>
        <v/>
      </c>
      <c r="E342" s="16">
        <f>IF(D342=0,0,MIN(D342-F342,C342))</f>
        <v/>
      </c>
      <c r="F342" s="16">
        <f>IF(C342&gt;0.01,C342*Inputs!$B$64,0)</f>
        <v/>
      </c>
      <c r="G342" s="16">
        <f>IF(C342-E342&gt;0,MIN(Inputs!$B$20,C342-E342),0)</f>
        <v/>
      </c>
      <c r="H342" s="17">
        <f>IF(Inputs!$B$62+SUM(E$5:E342)+SUM(G$5:G341)&lt;Inputs!$B$72,1,0)</f>
        <v/>
      </c>
      <c r="I342" s="16">
        <f>MAX(0,C342-E342-G342)</f>
        <v/>
      </c>
    </row>
    <row r="343">
      <c r="A343" t="n">
        <v>339</v>
      </c>
      <c r="B343" s="15">
        <f>CEILING(A343/12,1)</f>
        <v/>
      </c>
      <c r="C343" s="16">
        <f>I342</f>
        <v/>
      </c>
      <c r="D343" s="16">
        <f>IF(AND(C343&gt;0.01,A343&lt;=Inputs!$B$65),Inputs!$B$66,0)</f>
        <v/>
      </c>
      <c r="E343" s="16">
        <f>IF(D343=0,0,MIN(D343-F343,C343))</f>
        <v/>
      </c>
      <c r="F343" s="16">
        <f>IF(C343&gt;0.01,C343*Inputs!$B$64,0)</f>
        <v/>
      </c>
      <c r="G343" s="16">
        <f>IF(C343-E343&gt;0,MIN(Inputs!$B$20,C343-E343),0)</f>
        <v/>
      </c>
      <c r="H343" s="17">
        <f>IF(Inputs!$B$62+SUM(E$5:E343)+SUM(G$5:G342)&lt;Inputs!$B$72,1,0)</f>
        <v/>
      </c>
      <c r="I343" s="16">
        <f>MAX(0,C343-E343-G343)</f>
        <v/>
      </c>
    </row>
    <row r="344">
      <c r="A344" t="n">
        <v>340</v>
      </c>
      <c r="B344" s="15">
        <f>CEILING(A344/12,1)</f>
        <v/>
      </c>
      <c r="C344" s="16">
        <f>I343</f>
        <v/>
      </c>
      <c r="D344" s="16">
        <f>IF(AND(C344&gt;0.01,A344&lt;=Inputs!$B$65),Inputs!$B$66,0)</f>
        <v/>
      </c>
      <c r="E344" s="16">
        <f>IF(D344=0,0,MIN(D344-F344,C344))</f>
        <v/>
      </c>
      <c r="F344" s="16">
        <f>IF(C344&gt;0.01,C344*Inputs!$B$64,0)</f>
        <v/>
      </c>
      <c r="G344" s="16">
        <f>IF(C344-E344&gt;0,MIN(Inputs!$B$20,C344-E344),0)</f>
        <v/>
      </c>
      <c r="H344" s="17">
        <f>IF(Inputs!$B$62+SUM(E$5:E344)+SUM(G$5:G343)&lt;Inputs!$B$72,1,0)</f>
        <v/>
      </c>
      <c r="I344" s="16">
        <f>MAX(0,C344-E344-G344)</f>
        <v/>
      </c>
    </row>
    <row r="345">
      <c r="A345" t="n">
        <v>341</v>
      </c>
      <c r="B345" s="15">
        <f>CEILING(A345/12,1)</f>
        <v/>
      </c>
      <c r="C345" s="16">
        <f>I344</f>
        <v/>
      </c>
      <c r="D345" s="16">
        <f>IF(AND(C345&gt;0.01,A345&lt;=Inputs!$B$65),Inputs!$B$66,0)</f>
        <v/>
      </c>
      <c r="E345" s="16">
        <f>IF(D345=0,0,MIN(D345-F345,C345))</f>
        <v/>
      </c>
      <c r="F345" s="16">
        <f>IF(C345&gt;0.01,C345*Inputs!$B$64,0)</f>
        <v/>
      </c>
      <c r="G345" s="16">
        <f>IF(C345-E345&gt;0,MIN(Inputs!$B$20,C345-E345),0)</f>
        <v/>
      </c>
      <c r="H345" s="17">
        <f>IF(Inputs!$B$62+SUM(E$5:E345)+SUM(G$5:G344)&lt;Inputs!$B$72,1,0)</f>
        <v/>
      </c>
      <c r="I345" s="16">
        <f>MAX(0,C345-E345-G345)</f>
        <v/>
      </c>
    </row>
    <row r="346">
      <c r="A346" t="n">
        <v>342</v>
      </c>
      <c r="B346" s="15">
        <f>CEILING(A346/12,1)</f>
        <v/>
      </c>
      <c r="C346" s="16">
        <f>I345</f>
        <v/>
      </c>
      <c r="D346" s="16">
        <f>IF(AND(C346&gt;0.01,A346&lt;=Inputs!$B$65),Inputs!$B$66,0)</f>
        <v/>
      </c>
      <c r="E346" s="16">
        <f>IF(D346=0,0,MIN(D346-F346,C346))</f>
        <v/>
      </c>
      <c r="F346" s="16">
        <f>IF(C346&gt;0.01,C346*Inputs!$B$64,0)</f>
        <v/>
      </c>
      <c r="G346" s="16">
        <f>IF(C346-E346&gt;0,MIN(Inputs!$B$20,C346-E346),0)</f>
        <v/>
      </c>
      <c r="H346" s="17">
        <f>IF(Inputs!$B$62+SUM(E$5:E346)+SUM(G$5:G345)&lt;Inputs!$B$72,1,0)</f>
        <v/>
      </c>
      <c r="I346" s="16">
        <f>MAX(0,C346-E346-G346)</f>
        <v/>
      </c>
    </row>
    <row r="347">
      <c r="A347" t="n">
        <v>343</v>
      </c>
      <c r="B347" s="15">
        <f>CEILING(A347/12,1)</f>
        <v/>
      </c>
      <c r="C347" s="16">
        <f>I346</f>
        <v/>
      </c>
      <c r="D347" s="16">
        <f>IF(AND(C347&gt;0.01,A347&lt;=Inputs!$B$65),Inputs!$B$66,0)</f>
        <v/>
      </c>
      <c r="E347" s="16">
        <f>IF(D347=0,0,MIN(D347-F347,C347))</f>
        <v/>
      </c>
      <c r="F347" s="16">
        <f>IF(C347&gt;0.01,C347*Inputs!$B$64,0)</f>
        <v/>
      </c>
      <c r="G347" s="16">
        <f>IF(C347-E347&gt;0,MIN(Inputs!$B$20,C347-E347),0)</f>
        <v/>
      </c>
      <c r="H347" s="17">
        <f>IF(Inputs!$B$62+SUM(E$5:E347)+SUM(G$5:G346)&lt;Inputs!$B$72,1,0)</f>
        <v/>
      </c>
      <c r="I347" s="16">
        <f>MAX(0,C347-E347-G347)</f>
        <v/>
      </c>
    </row>
    <row r="348">
      <c r="A348" t="n">
        <v>344</v>
      </c>
      <c r="B348" s="15">
        <f>CEILING(A348/12,1)</f>
        <v/>
      </c>
      <c r="C348" s="16">
        <f>I347</f>
        <v/>
      </c>
      <c r="D348" s="16">
        <f>IF(AND(C348&gt;0.01,A348&lt;=Inputs!$B$65),Inputs!$B$66,0)</f>
        <v/>
      </c>
      <c r="E348" s="16">
        <f>IF(D348=0,0,MIN(D348-F348,C348))</f>
        <v/>
      </c>
      <c r="F348" s="16">
        <f>IF(C348&gt;0.01,C348*Inputs!$B$64,0)</f>
        <v/>
      </c>
      <c r="G348" s="16">
        <f>IF(C348-E348&gt;0,MIN(Inputs!$B$20,C348-E348),0)</f>
        <v/>
      </c>
      <c r="H348" s="17">
        <f>IF(Inputs!$B$62+SUM(E$5:E348)+SUM(G$5:G347)&lt;Inputs!$B$72,1,0)</f>
        <v/>
      </c>
      <c r="I348" s="16">
        <f>MAX(0,C348-E348-G348)</f>
        <v/>
      </c>
    </row>
    <row r="349">
      <c r="A349" t="n">
        <v>345</v>
      </c>
      <c r="B349" s="15">
        <f>CEILING(A349/12,1)</f>
        <v/>
      </c>
      <c r="C349" s="16">
        <f>I348</f>
        <v/>
      </c>
      <c r="D349" s="16">
        <f>IF(AND(C349&gt;0.01,A349&lt;=Inputs!$B$65),Inputs!$B$66,0)</f>
        <v/>
      </c>
      <c r="E349" s="16">
        <f>IF(D349=0,0,MIN(D349-F349,C349))</f>
        <v/>
      </c>
      <c r="F349" s="16">
        <f>IF(C349&gt;0.01,C349*Inputs!$B$64,0)</f>
        <v/>
      </c>
      <c r="G349" s="16">
        <f>IF(C349-E349&gt;0,MIN(Inputs!$B$20,C349-E349),0)</f>
        <v/>
      </c>
      <c r="H349" s="17">
        <f>IF(Inputs!$B$62+SUM(E$5:E349)+SUM(G$5:G348)&lt;Inputs!$B$72,1,0)</f>
        <v/>
      </c>
      <c r="I349" s="16">
        <f>MAX(0,C349-E349-G349)</f>
        <v/>
      </c>
    </row>
    <row r="350">
      <c r="A350" t="n">
        <v>346</v>
      </c>
      <c r="B350" s="15">
        <f>CEILING(A350/12,1)</f>
        <v/>
      </c>
      <c r="C350" s="16">
        <f>I349</f>
        <v/>
      </c>
      <c r="D350" s="16">
        <f>IF(AND(C350&gt;0.01,A350&lt;=Inputs!$B$65),Inputs!$B$66,0)</f>
        <v/>
      </c>
      <c r="E350" s="16">
        <f>IF(D350=0,0,MIN(D350-F350,C350))</f>
        <v/>
      </c>
      <c r="F350" s="16">
        <f>IF(C350&gt;0.01,C350*Inputs!$B$64,0)</f>
        <v/>
      </c>
      <c r="G350" s="16">
        <f>IF(C350-E350&gt;0,MIN(Inputs!$B$20,C350-E350),0)</f>
        <v/>
      </c>
      <c r="H350" s="17">
        <f>IF(Inputs!$B$62+SUM(E$5:E350)+SUM(G$5:G349)&lt;Inputs!$B$72,1,0)</f>
        <v/>
      </c>
      <c r="I350" s="16">
        <f>MAX(0,C350-E350-G350)</f>
        <v/>
      </c>
    </row>
    <row r="351">
      <c r="A351" t="n">
        <v>347</v>
      </c>
      <c r="B351" s="15">
        <f>CEILING(A351/12,1)</f>
        <v/>
      </c>
      <c r="C351" s="16">
        <f>I350</f>
        <v/>
      </c>
      <c r="D351" s="16">
        <f>IF(AND(C351&gt;0.01,A351&lt;=Inputs!$B$65),Inputs!$B$66,0)</f>
        <v/>
      </c>
      <c r="E351" s="16">
        <f>IF(D351=0,0,MIN(D351-F351,C351))</f>
        <v/>
      </c>
      <c r="F351" s="16">
        <f>IF(C351&gt;0.01,C351*Inputs!$B$64,0)</f>
        <v/>
      </c>
      <c r="G351" s="16">
        <f>IF(C351-E351&gt;0,MIN(Inputs!$B$20,C351-E351),0)</f>
        <v/>
      </c>
      <c r="H351" s="17">
        <f>IF(Inputs!$B$62+SUM(E$5:E351)+SUM(G$5:G350)&lt;Inputs!$B$72,1,0)</f>
        <v/>
      </c>
      <c r="I351" s="16">
        <f>MAX(0,C351-E351-G351)</f>
        <v/>
      </c>
    </row>
    <row r="352">
      <c r="A352" t="n">
        <v>348</v>
      </c>
      <c r="B352" s="15">
        <f>CEILING(A352/12,1)</f>
        <v/>
      </c>
      <c r="C352" s="16">
        <f>I351</f>
        <v/>
      </c>
      <c r="D352" s="16">
        <f>IF(AND(C352&gt;0.01,A352&lt;=Inputs!$B$65),Inputs!$B$66,0)</f>
        <v/>
      </c>
      <c r="E352" s="16">
        <f>IF(D352=0,0,MIN(D352-F352,C352))</f>
        <v/>
      </c>
      <c r="F352" s="16">
        <f>IF(C352&gt;0.01,C352*Inputs!$B$64,0)</f>
        <v/>
      </c>
      <c r="G352" s="16">
        <f>IF(C352-E352&gt;0,MIN(Inputs!$B$20,C352-E352),0)</f>
        <v/>
      </c>
      <c r="H352" s="17">
        <f>IF(Inputs!$B$62+SUM(E$5:E352)+SUM(G$5:G351)&lt;Inputs!$B$72,1,0)</f>
        <v/>
      </c>
      <c r="I352" s="16">
        <f>MAX(0,C352-E352-G352)</f>
        <v/>
      </c>
    </row>
    <row r="353">
      <c r="A353" t="n">
        <v>349</v>
      </c>
      <c r="B353" s="15">
        <f>CEILING(A353/12,1)</f>
        <v/>
      </c>
      <c r="C353" s="16">
        <f>I352</f>
        <v/>
      </c>
      <c r="D353" s="16">
        <f>IF(AND(C353&gt;0.01,A353&lt;=Inputs!$B$65),Inputs!$B$66,0)</f>
        <v/>
      </c>
      <c r="E353" s="16">
        <f>IF(D353=0,0,MIN(D353-F353,C353))</f>
        <v/>
      </c>
      <c r="F353" s="16">
        <f>IF(C353&gt;0.01,C353*Inputs!$B$64,0)</f>
        <v/>
      </c>
      <c r="G353" s="16">
        <f>IF(C353-E353&gt;0,MIN(Inputs!$B$20,C353-E353),0)</f>
        <v/>
      </c>
      <c r="H353" s="17">
        <f>IF(Inputs!$B$62+SUM(E$5:E353)+SUM(G$5:G352)&lt;Inputs!$B$72,1,0)</f>
        <v/>
      </c>
      <c r="I353" s="16">
        <f>MAX(0,C353-E353-G353)</f>
        <v/>
      </c>
    </row>
    <row r="354">
      <c r="A354" t="n">
        <v>350</v>
      </c>
      <c r="B354" s="15">
        <f>CEILING(A354/12,1)</f>
        <v/>
      </c>
      <c r="C354" s="16">
        <f>I353</f>
        <v/>
      </c>
      <c r="D354" s="16">
        <f>IF(AND(C354&gt;0.01,A354&lt;=Inputs!$B$65),Inputs!$B$66,0)</f>
        <v/>
      </c>
      <c r="E354" s="16">
        <f>IF(D354=0,0,MIN(D354-F354,C354))</f>
        <v/>
      </c>
      <c r="F354" s="16">
        <f>IF(C354&gt;0.01,C354*Inputs!$B$64,0)</f>
        <v/>
      </c>
      <c r="G354" s="16">
        <f>IF(C354-E354&gt;0,MIN(Inputs!$B$20,C354-E354),0)</f>
        <v/>
      </c>
      <c r="H354" s="17">
        <f>IF(Inputs!$B$62+SUM(E$5:E354)+SUM(G$5:G353)&lt;Inputs!$B$72,1,0)</f>
        <v/>
      </c>
      <c r="I354" s="16">
        <f>MAX(0,C354-E354-G354)</f>
        <v/>
      </c>
    </row>
    <row r="355">
      <c r="A355" t="n">
        <v>351</v>
      </c>
      <c r="B355" s="15">
        <f>CEILING(A355/12,1)</f>
        <v/>
      </c>
      <c r="C355" s="16">
        <f>I354</f>
        <v/>
      </c>
      <c r="D355" s="16">
        <f>IF(AND(C355&gt;0.01,A355&lt;=Inputs!$B$65),Inputs!$B$66,0)</f>
        <v/>
      </c>
      <c r="E355" s="16">
        <f>IF(D355=0,0,MIN(D355-F355,C355))</f>
        <v/>
      </c>
      <c r="F355" s="16">
        <f>IF(C355&gt;0.01,C355*Inputs!$B$64,0)</f>
        <v/>
      </c>
      <c r="G355" s="16">
        <f>IF(C355-E355&gt;0,MIN(Inputs!$B$20,C355-E355),0)</f>
        <v/>
      </c>
      <c r="H355" s="17">
        <f>IF(Inputs!$B$62+SUM(E$5:E355)+SUM(G$5:G354)&lt;Inputs!$B$72,1,0)</f>
        <v/>
      </c>
      <c r="I355" s="16">
        <f>MAX(0,C355-E355-G355)</f>
        <v/>
      </c>
    </row>
    <row r="356">
      <c r="A356" t="n">
        <v>352</v>
      </c>
      <c r="B356" s="15">
        <f>CEILING(A356/12,1)</f>
        <v/>
      </c>
      <c r="C356" s="16">
        <f>I355</f>
        <v/>
      </c>
      <c r="D356" s="16">
        <f>IF(AND(C356&gt;0.01,A356&lt;=Inputs!$B$65),Inputs!$B$66,0)</f>
        <v/>
      </c>
      <c r="E356" s="16">
        <f>IF(D356=0,0,MIN(D356-F356,C356))</f>
        <v/>
      </c>
      <c r="F356" s="16">
        <f>IF(C356&gt;0.01,C356*Inputs!$B$64,0)</f>
        <v/>
      </c>
      <c r="G356" s="16">
        <f>IF(C356-E356&gt;0,MIN(Inputs!$B$20,C356-E356),0)</f>
        <v/>
      </c>
      <c r="H356" s="17">
        <f>IF(Inputs!$B$62+SUM(E$5:E356)+SUM(G$5:G355)&lt;Inputs!$B$72,1,0)</f>
        <v/>
      </c>
      <c r="I356" s="16">
        <f>MAX(0,C356-E356-G356)</f>
        <v/>
      </c>
    </row>
    <row r="357">
      <c r="A357" t="n">
        <v>353</v>
      </c>
      <c r="B357" s="15">
        <f>CEILING(A357/12,1)</f>
        <v/>
      </c>
      <c r="C357" s="16">
        <f>I356</f>
        <v/>
      </c>
      <c r="D357" s="16">
        <f>IF(AND(C357&gt;0.01,A357&lt;=Inputs!$B$65),Inputs!$B$66,0)</f>
        <v/>
      </c>
      <c r="E357" s="16">
        <f>IF(D357=0,0,MIN(D357-F357,C357))</f>
        <v/>
      </c>
      <c r="F357" s="16">
        <f>IF(C357&gt;0.01,C357*Inputs!$B$64,0)</f>
        <v/>
      </c>
      <c r="G357" s="16">
        <f>IF(C357-E357&gt;0,MIN(Inputs!$B$20,C357-E357),0)</f>
        <v/>
      </c>
      <c r="H357" s="17">
        <f>IF(Inputs!$B$62+SUM(E$5:E357)+SUM(G$5:G356)&lt;Inputs!$B$72,1,0)</f>
        <v/>
      </c>
      <c r="I357" s="16">
        <f>MAX(0,C357-E357-G357)</f>
        <v/>
      </c>
    </row>
    <row r="358">
      <c r="A358" t="n">
        <v>354</v>
      </c>
      <c r="B358" s="15">
        <f>CEILING(A358/12,1)</f>
        <v/>
      </c>
      <c r="C358" s="16">
        <f>I357</f>
        <v/>
      </c>
      <c r="D358" s="16">
        <f>IF(AND(C358&gt;0.01,A358&lt;=Inputs!$B$65),Inputs!$B$66,0)</f>
        <v/>
      </c>
      <c r="E358" s="16">
        <f>IF(D358=0,0,MIN(D358-F358,C358))</f>
        <v/>
      </c>
      <c r="F358" s="16">
        <f>IF(C358&gt;0.01,C358*Inputs!$B$64,0)</f>
        <v/>
      </c>
      <c r="G358" s="16">
        <f>IF(C358-E358&gt;0,MIN(Inputs!$B$20,C358-E358),0)</f>
        <v/>
      </c>
      <c r="H358" s="17">
        <f>IF(Inputs!$B$62+SUM(E$5:E358)+SUM(G$5:G357)&lt;Inputs!$B$72,1,0)</f>
        <v/>
      </c>
      <c r="I358" s="16">
        <f>MAX(0,C358-E358-G358)</f>
        <v/>
      </c>
    </row>
    <row r="359">
      <c r="A359" t="n">
        <v>355</v>
      </c>
      <c r="B359" s="15">
        <f>CEILING(A359/12,1)</f>
        <v/>
      </c>
      <c r="C359" s="16">
        <f>I358</f>
        <v/>
      </c>
      <c r="D359" s="16">
        <f>IF(AND(C359&gt;0.01,A359&lt;=Inputs!$B$65),Inputs!$B$66,0)</f>
        <v/>
      </c>
      <c r="E359" s="16">
        <f>IF(D359=0,0,MIN(D359-F359,C359))</f>
        <v/>
      </c>
      <c r="F359" s="16">
        <f>IF(C359&gt;0.01,C359*Inputs!$B$64,0)</f>
        <v/>
      </c>
      <c r="G359" s="16">
        <f>IF(C359-E359&gt;0,MIN(Inputs!$B$20,C359-E359),0)</f>
        <v/>
      </c>
      <c r="H359" s="17">
        <f>IF(Inputs!$B$62+SUM(E$5:E359)+SUM(G$5:G358)&lt;Inputs!$B$72,1,0)</f>
        <v/>
      </c>
      <c r="I359" s="16">
        <f>MAX(0,C359-E359-G359)</f>
        <v/>
      </c>
    </row>
    <row r="360">
      <c r="A360" t="n">
        <v>356</v>
      </c>
      <c r="B360" s="15">
        <f>CEILING(A360/12,1)</f>
        <v/>
      </c>
      <c r="C360" s="16">
        <f>I359</f>
        <v/>
      </c>
      <c r="D360" s="16">
        <f>IF(AND(C360&gt;0.01,A360&lt;=Inputs!$B$65),Inputs!$B$66,0)</f>
        <v/>
      </c>
      <c r="E360" s="16">
        <f>IF(D360=0,0,MIN(D360-F360,C360))</f>
        <v/>
      </c>
      <c r="F360" s="16">
        <f>IF(C360&gt;0.01,C360*Inputs!$B$64,0)</f>
        <v/>
      </c>
      <c r="G360" s="16">
        <f>IF(C360-E360&gt;0,MIN(Inputs!$B$20,C360-E360),0)</f>
        <v/>
      </c>
      <c r="H360" s="17">
        <f>IF(Inputs!$B$62+SUM(E$5:E360)+SUM(G$5:G359)&lt;Inputs!$B$72,1,0)</f>
        <v/>
      </c>
      <c r="I360" s="16">
        <f>MAX(0,C360-E360-G360)</f>
        <v/>
      </c>
    </row>
    <row r="361">
      <c r="A361" t="n">
        <v>357</v>
      </c>
      <c r="B361" s="15">
        <f>CEILING(A361/12,1)</f>
        <v/>
      </c>
      <c r="C361" s="16">
        <f>I360</f>
        <v/>
      </c>
      <c r="D361" s="16">
        <f>IF(AND(C361&gt;0.01,A361&lt;=Inputs!$B$65),Inputs!$B$66,0)</f>
        <v/>
      </c>
      <c r="E361" s="16">
        <f>IF(D361=0,0,MIN(D361-F361,C361))</f>
        <v/>
      </c>
      <c r="F361" s="16">
        <f>IF(C361&gt;0.01,C361*Inputs!$B$64,0)</f>
        <v/>
      </c>
      <c r="G361" s="16">
        <f>IF(C361-E361&gt;0,MIN(Inputs!$B$20,C361-E361),0)</f>
        <v/>
      </c>
      <c r="H361" s="17">
        <f>IF(Inputs!$B$62+SUM(E$5:E361)+SUM(G$5:G360)&lt;Inputs!$B$72,1,0)</f>
        <v/>
      </c>
      <c r="I361" s="16">
        <f>MAX(0,C361-E361-G361)</f>
        <v/>
      </c>
    </row>
    <row r="362">
      <c r="A362" t="n">
        <v>358</v>
      </c>
      <c r="B362" s="15">
        <f>CEILING(A362/12,1)</f>
        <v/>
      </c>
      <c r="C362" s="16">
        <f>I361</f>
        <v/>
      </c>
      <c r="D362" s="16">
        <f>IF(AND(C362&gt;0.01,A362&lt;=Inputs!$B$65),Inputs!$B$66,0)</f>
        <v/>
      </c>
      <c r="E362" s="16">
        <f>IF(D362=0,0,MIN(D362-F362,C362))</f>
        <v/>
      </c>
      <c r="F362" s="16">
        <f>IF(C362&gt;0.01,C362*Inputs!$B$64,0)</f>
        <v/>
      </c>
      <c r="G362" s="16">
        <f>IF(C362-E362&gt;0,MIN(Inputs!$B$20,C362-E362),0)</f>
        <v/>
      </c>
      <c r="H362" s="17">
        <f>IF(Inputs!$B$62+SUM(E$5:E362)+SUM(G$5:G361)&lt;Inputs!$B$72,1,0)</f>
        <v/>
      </c>
      <c r="I362" s="16">
        <f>MAX(0,C362-E362-G362)</f>
        <v/>
      </c>
    </row>
    <row r="363">
      <c r="A363" t="n">
        <v>359</v>
      </c>
      <c r="B363" s="15">
        <f>CEILING(A363/12,1)</f>
        <v/>
      </c>
      <c r="C363" s="16">
        <f>I362</f>
        <v/>
      </c>
      <c r="D363" s="16">
        <f>IF(AND(C363&gt;0.01,A363&lt;=Inputs!$B$65),Inputs!$B$66,0)</f>
        <v/>
      </c>
      <c r="E363" s="16">
        <f>IF(D363=0,0,MIN(D363-F363,C363))</f>
        <v/>
      </c>
      <c r="F363" s="16">
        <f>IF(C363&gt;0.01,C363*Inputs!$B$64,0)</f>
        <v/>
      </c>
      <c r="G363" s="16">
        <f>IF(C363-E363&gt;0,MIN(Inputs!$B$20,C363-E363),0)</f>
        <v/>
      </c>
      <c r="H363" s="17">
        <f>IF(Inputs!$B$62+SUM(E$5:E363)+SUM(G$5:G362)&lt;Inputs!$B$72,1,0)</f>
        <v/>
      </c>
      <c r="I363" s="16">
        <f>MAX(0,C363-E363-G363)</f>
        <v/>
      </c>
    </row>
    <row r="364">
      <c r="A364" t="n">
        <v>360</v>
      </c>
      <c r="B364" s="15">
        <f>CEILING(A364/12,1)</f>
        <v/>
      </c>
      <c r="C364" s="16">
        <f>I363</f>
        <v/>
      </c>
      <c r="D364" s="16">
        <f>IF(AND(C364&gt;0.01,A364&lt;=Inputs!$B$65),Inputs!$B$66,0)</f>
        <v/>
      </c>
      <c r="E364" s="16">
        <f>IF(D364=0,0,MIN(D364-F364,C364))</f>
        <v/>
      </c>
      <c r="F364" s="16">
        <f>IF(C364&gt;0.01,C364*Inputs!$B$64,0)</f>
        <v/>
      </c>
      <c r="G364" s="16">
        <f>IF(C364-E364&gt;0,MIN(Inputs!$B$20,C364-E364),0)</f>
        <v/>
      </c>
      <c r="H364" s="17">
        <f>IF(Inputs!$B$62+SUM(E$5:E364)+SUM(G$5:G363)&lt;Inputs!$B$72,1,0)</f>
        <v/>
      </c>
      <c r="I364" s="16">
        <f>MAX(0,C364-E364-G364)</f>
        <v/>
      </c>
    </row>
    <row r="366">
      <c r="A366" s="12" t="inlineStr">
        <is>
          <t>TOTAL</t>
        </is>
      </c>
      <c r="D366" s="18">
        <f>SUM(D5:D365)</f>
        <v/>
      </c>
      <c r="E366" s="18">
        <f>SUM(E5:E365)</f>
        <v/>
      </c>
      <c r="F366" s="18">
        <f>SUM(F5:F365)</f>
        <v/>
      </c>
      <c r="G366" s="18">
        <f>SUM(G5:G365)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Home Appreciation &amp; Equity</t>
        </is>
      </c>
    </row>
    <row r="2">
      <c r="A2" s="3" t="inlineStr">
        <is>
          <t>Year-by-year asset projection. Net equity = appreciated value − loan balance − selling costs.</t>
        </is>
      </c>
    </row>
    <row r="4">
      <c r="A4" s="14" t="inlineStr">
        <is>
          <t>Year</t>
        </is>
      </c>
      <c r="B4" s="14" t="inlineStr">
        <is>
          <t>Home Value</t>
        </is>
      </c>
      <c r="C4" s="14" t="inlineStr">
        <is>
          <t>Loan Balance</t>
        </is>
      </c>
      <c r="D4" s="14" t="inlineStr">
        <is>
          <t>Gross Equity</t>
        </is>
      </c>
      <c r="E4" s="14" t="inlineStr">
        <is>
          <t>Selling Costs</t>
        </is>
      </c>
      <c r="F4" s="14" t="inlineStr">
        <is>
          <t>Net Equity</t>
        </is>
      </c>
      <c r="G4" s="14" t="inlineStr">
        <is>
          <t>Cum. Interest</t>
        </is>
      </c>
      <c r="H4" s="14" t="inlineStr">
        <is>
          <t>Cum. Principal</t>
        </is>
      </c>
    </row>
    <row r="5">
      <c r="A5" t="n">
        <v>1</v>
      </c>
      <c r="B5" s="16">
        <f>Inputs!$B$5*(1+Inputs!$B$15)^A5</f>
        <v/>
      </c>
      <c r="C5" s="16">
        <f>IFERROR(INDEX(Amortization!I:I,MIN(16,364)),0)</f>
        <v/>
      </c>
      <c r="D5" s="16">
        <f>B5-C5</f>
        <v/>
      </c>
      <c r="E5" s="16">
        <f>B5*Inputs!$B$18</f>
        <v/>
      </c>
      <c r="F5" s="16">
        <f>D5-E5</f>
        <v/>
      </c>
      <c r="G5" s="16">
        <f>SUM(Amortization!F$5:INDEX(Amortization!F:F,MIN(16,364)))</f>
        <v/>
      </c>
      <c r="H5" s="16">
        <f>SUM(Amortization!E$5:INDEX(Amortization!E:E,MIN(16,364)))+SUM(Amortization!G$5:INDEX(Amortization!G:G,MIN(16,364)))</f>
        <v/>
      </c>
    </row>
    <row r="6">
      <c r="A6" t="n">
        <v>2</v>
      </c>
      <c r="B6" s="16">
        <f>Inputs!$B$5*(1+Inputs!$B$15)^A6</f>
        <v/>
      </c>
      <c r="C6" s="16">
        <f>IFERROR(INDEX(Amortization!I:I,MIN(28,364)),0)</f>
        <v/>
      </c>
      <c r="D6" s="16">
        <f>B6-C6</f>
        <v/>
      </c>
      <c r="E6" s="16">
        <f>B6*Inputs!$B$18</f>
        <v/>
      </c>
      <c r="F6" s="16">
        <f>D6-E6</f>
        <v/>
      </c>
      <c r="G6" s="16">
        <f>SUM(Amortization!F$5:INDEX(Amortization!F:F,MIN(28,364)))</f>
        <v/>
      </c>
      <c r="H6" s="16">
        <f>SUM(Amortization!E$5:INDEX(Amortization!E:E,MIN(28,364)))+SUM(Amortization!G$5:INDEX(Amortization!G:G,MIN(28,364)))</f>
        <v/>
      </c>
    </row>
    <row r="7">
      <c r="A7" t="n">
        <v>3</v>
      </c>
      <c r="B7" s="16">
        <f>Inputs!$B$5*(1+Inputs!$B$15)^A7</f>
        <v/>
      </c>
      <c r="C7" s="16">
        <f>IFERROR(INDEX(Amortization!I:I,MIN(40,364)),0)</f>
        <v/>
      </c>
      <c r="D7" s="16">
        <f>B7-C7</f>
        <v/>
      </c>
      <c r="E7" s="16">
        <f>B7*Inputs!$B$18</f>
        <v/>
      </c>
      <c r="F7" s="16">
        <f>D7-E7</f>
        <v/>
      </c>
      <c r="G7" s="16">
        <f>SUM(Amortization!F$5:INDEX(Amortization!F:F,MIN(40,364)))</f>
        <v/>
      </c>
      <c r="H7" s="16">
        <f>SUM(Amortization!E$5:INDEX(Amortization!E:E,MIN(40,364)))+SUM(Amortization!G$5:INDEX(Amortization!G:G,MIN(40,364)))</f>
        <v/>
      </c>
    </row>
    <row r="8">
      <c r="A8" t="n">
        <v>4</v>
      </c>
      <c r="B8" s="16">
        <f>Inputs!$B$5*(1+Inputs!$B$15)^A8</f>
        <v/>
      </c>
      <c r="C8" s="16">
        <f>IFERROR(INDEX(Amortization!I:I,MIN(52,364)),0)</f>
        <v/>
      </c>
      <c r="D8" s="16">
        <f>B8-C8</f>
        <v/>
      </c>
      <c r="E8" s="16">
        <f>B8*Inputs!$B$18</f>
        <v/>
      </c>
      <c r="F8" s="16">
        <f>D8-E8</f>
        <v/>
      </c>
      <c r="G8" s="16">
        <f>SUM(Amortization!F$5:INDEX(Amortization!F:F,MIN(52,364)))</f>
        <v/>
      </c>
      <c r="H8" s="16">
        <f>SUM(Amortization!E$5:INDEX(Amortization!E:E,MIN(52,364)))+SUM(Amortization!G$5:INDEX(Amortization!G:G,MIN(52,364)))</f>
        <v/>
      </c>
    </row>
    <row r="9">
      <c r="A9" s="19" t="n">
        <v>5</v>
      </c>
      <c r="B9" s="20">
        <f>Inputs!$B$5*(1+Inputs!$B$15)^A9</f>
        <v/>
      </c>
      <c r="C9" s="20">
        <f>IFERROR(INDEX(Amortization!I:I,MIN(64,364)),0)</f>
        <v/>
      </c>
      <c r="D9" s="20">
        <f>B9-C9</f>
        <v/>
      </c>
      <c r="E9" s="20">
        <f>B9*Inputs!$B$18</f>
        <v/>
      </c>
      <c r="F9" s="20">
        <f>D9-E9</f>
        <v/>
      </c>
      <c r="G9" s="20">
        <f>SUM(Amortization!F$5:INDEX(Amortization!F:F,MIN(64,364)))</f>
        <v/>
      </c>
      <c r="H9" s="20">
        <f>SUM(Amortization!E$5:INDEX(Amortization!E:E,MIN(64,364)))+SUM(Amortization!G$5:INDEX(Amortization!G:G,MIN(64,364)))</f>
        <v/>
      </c>
    </row>
    <row r="10">
      <c r="A10" t="n">
        <v>6</v>
      </c>
      <c r="B10" s="16">
        <f>Inputs!$B$5*(1+Inputs!$B$15)^A10</f>
        <v/>
      </c>
      <c r="C10" s="16">
        <f>IFERROR(INDEX(Amortization!I:I,MIN(76,364)),0)</f>
        <v/>
      </c>
      <c r="D10" s="16">
        <f>B10-C10</f>
        <v/>
      </c>
      <c r="E10" s="16">
        <f>B10*Inputs!$B$18</f>
        <v/>
      </c>
      <c r="F10" s="16">
        <f>D10-E10</f>
        <v/>
      </c>
      <c r="G10" s="16">
        <f>SUM(Amortization!F$5:INDEX(Amortization!F:F,MIN(76,364)))</f>
        <v/>
      </c>
      <c r="H10" s="16">
        <f>SUM(Amortization!E$5:INDEX(Amortization!E:E,MIN(76,364)))+SUM(Amortization!G$5:INDEX(Amortization!G:G,MIN(76,364)))</f>
        <v/>
      </c>
    </row>
    <row r="11">
      <c r="A11" t="n">
        <v>7</v>
      </c>
      <c r="B11" s="16">
        <f>Inputs!$B$5*(1+Inputs!$B$15)^A11</f>
        <v/>
      </c>
      <c r="C11" s="16">
        <f>IFERROR(INDEX(Amortization!I:I,MIN(88,364)),0)</f>
        <v/>
      </c>
      <c r="D11" s="16">
        <f>B11-C11</f>
        <v/>
      </c>
      <c r="E11" s="16">
        <f>B11*Inputs!$B$18</f>
        <v/>
      </c>
      <c r="F11" s="16">
        <f>D11-E11</f>
        <v/>
      </c>
      <c r="G11" s="16">
        <f>SUM(Amortization!F$5:INDEX(Amortization!F:F,MIN(88,364)))</f>
        <v/>
      </c>
      <c r="H11" s="16">
        <f>SUM(Amortization!E$5:INDEX(Amortization!E:E,MIN(88,364)))+SUM(Amortization!G$5:INDEX(Amortization!G:G,MIN(88,364)))</f>
        <v/>
      </c>
    </row>
    <row r="12">
      <c r="A12" t="n">
        <v>8</v>
      </c>
      <c r="B12" s="16">
        <f>Inputs!$B$5*(1+Inputs!$B$15)^A12</f>
        <v/>
      </c>
      <c r="C12" s="16">
        <f>IFERROR(INDEX(Amortization!I:I,MIN(100,364)),0)</f>
        <v/>
      </c>
      <c r="D12" s="16">
        <f>B12-C12</f>
        <v/>
      </c>
      <c r="E12" s="16">
        <f>B12*Inputs!$B$18</f>
        <v/>
      </c>
      <c r="F12" s="16">
        <f>D12-E12</f>
        <v/>
      </c>
      <c r="G12" s="16">
        <f>SUM(Amortization!F$5:INDEX(Amortization!F:F,MIN(100,364)))</f>
        <v/>
      </c>
      <c r="H12" s="16">
        <f>SUM(Amortization!E$5:INDEX(Amortization!E:E,MIN(100,364)))+SUM(Amortization!G$5:INDEX(Amortization!G:G,MIN(100,364)))</f>
        <v/>
      </c>
    </row>
    <row r="13">
      <c r="A13" t="n">
        <v>9</v>
      </c>
      <c r="B13" s="16">
        <f>Inputs!$B$5*(1+Inputs!$B$15)^A13</f>
        <v/>
      </c>
      <c r="C13" s="16">
        <f>IFERROR(INDEX(Amortization!I:I,MIN(112,364)),0)</f>
        <v/>
      </c>
      <c r="D13" s="16">
        <f>B13-C13</f>
        <v/>
      </c>
      <c r="E13" s="16">
        <f>B13*Inputs!$B$18</f>
        <v/>
      </c>
      <c r="F13" s="16">
        <f>D13-E13</f>
        <v/>
      </c>
      <c r="G13" s="16">
        <f>SUM(Amortization!F$5:INDEX(Amortization!F:F,MIN(112,364)))</f>
        <v/>
      </c>
      <c r="H13" s="16">
        <f>SUM(Amortization!E$5:INDEX(Amortization!E:E,MIN(112,364)))+SUM(Amortization!G$5:INDEX(Amortization!G:G,MIN(112,364)))</f>
        <v/>
      </c>
    </row>
    <row r="14">
      <c r="A14" s="19" t="n">
        <v>10</v>
      </c>
      <c r="B14" s="20">
        <f>Inputs!$B$5*(1+Inputs!$B$15)^A14</f>
        <v/>
      </c>
      <c r="C14" s="20">
        <f>IFERROR(INDEX(Amortization!I:I,MIN(124,364)),0)</f>
        <v/>
      </c>
      <c r="D14" s="20">
        <f>B14-C14</f>
        <v/>
      </c>
      <c r="E14" s="20">
        <f>B14*Inputs!$B$18</f>
        <v/>
      </c>
      <c r="F14" s="20">
        <f>D14-E14</f>
        <v/>
      </c>
      <c r="G14" s="20">
        <f>SUM(Amortization!F$5:INDEX(Amortization!F:F,MIN(124,364)))</f>
        <v/>
      </c>
      <c r="H14" s="20">
        <f>SUM(Amortization!E$5:INDEX(Amortization!E:E,MIN(124,364)))+SUM(Amortization!G$5:INDEX(Amortization!G:G,MIN(124,364)))</f>
        <v/>
      </c>
    </row>
    <row r="15">
      <c r="A15" t="n">
        <v>11</v>
      </c>
      <c r="B15" s="16">
        <f>Inputs!$B$5*(1+Inputs!$B$15)^A15</f>
        <v/>
      </c>
      <c r="C15" s="16">
        <f>IFERROR(INDEX(Amortization!I:I,MIN(136,364)),0)</f>
        <v/>
      </c>
      <c r="D15" s="16">
        <f>B15-C15</f>
        <v/>
      </c>
      <c r="E15" s="16">
        <f>B15*Inputs!$B$18</f>
        <v/>
      </c>
      <c r="F15" s="16">
        <f>D15-E15</f>
        <v/>
      </c>
      <c r="G15" s="16">
        <f>SUM(Amortization!F$5:INDEX(Amortization!F:F,MIN(136,364)))</f>
        <v/>
      </c>
      <c r="H15" s="16">
        <f>SUM(Amortization!E$5:INDEX(Amortization!E:E,MIN(136,364)))+SUM(Amortization!G$5:INDEX(Amortization!G:G,MIN(136,364)))</f>
        <v/>
      </c>
    </row>
    <row r="16">
      <c r="A16" t="n">
        <v>12</v>
      </c>
      <c r="B16" s="16">
        <f>Inputs!$B$5*(1+Inputs!$B$15)^A16</f>
        <v/>
      </c>
      <c r="C16" s="16">
        <f>IFERROR(INDEX(Amortization!I:I,MIN(148,364)),0)</f>
        <v/>
      </c>
      <c r="D16" s="16">
        <f>B16-C16</f>
        <v/>
      </c>
      <c r="E16" s="16">
        <f>B16*Inputs!$B$18</f>
        <v/>
      </c>
      <c r="F16" s="16">
        <f>D16-E16</f>
        <v/>
      </c>
      <c r="G16" s="16">
        <f>SUM(Amortization!F$5:INDEX(Amortization!F:F,MIN(148,364)))</f>
        <v/>
      </c>
      <c r="H16" s="16">
        <f>SUM(Amortization!E$5:INDEX(Amortization!E:E,MIN(148,364)))+SUM(Amortization!G$5:INDEX(Amortization!G:G,MIN(148,364)))</f>
        <v/>
      </c>
    </row>
    <row r="17">
      <c r="A17" t="n">
        <v>13</v>
      </c>
      <c r="B17" s="16">
        <f>Inputs!$B$5*(1+Inputs!$B$15)^A17</f>
        <v/>
      </c>
      <c r="C17" s="16">
        <f>IFERROR(INDEX(Amortization!I:I,MIN(160,364)),0)</f>
        <v/>
      </c>
      <c r="D17" s="16">
        <f>B17-C17</f>
        <v/>
      </c>
      <c r="E17" s="16">
        <f>B17*Inputs!$B$18</f>
        <v/>
      </c>
      <c r="F17" s="16">
        <f>D17-E17</f>
        <v/>
      </c>
      <c r="G17" s="16">
        <f>SUM(Amortization!F$5:INDEX(Amortization!F:F,MIN(160,364)))</f>
        <v/>
      </c>
      <c r="H17" s="16">
        <f>SUM(Amortization!E$5:INDEX(Amortization!E:E,MIN(160,364)))+SUM(Amortization!G$5:INDEX(Amortization!G:G,MIN(160,364)))</f>
        <v/>
      </c>
    </row>
    <row r="18">
      <c r="A18" t="n">
        <v>14</v>
      </c>
      <c r="B18" s="16">
        <f>Inputs!$B$5*(1+Inputs!$B$15)^A18</f>
        <v/>
      </c>
      <c r="C18" s="16">
        <f>IFERROR(INDEX(Amortization!I:I,MIN(172,364)),0)</f>
        <v/>
      </c>
      <c r="D18" s="16">
        <f>B18-C18</f>
        <v/>
      </c>
      <c r="E18" s="16">
        <f>B18*Inputs!$B$18</f>
        <v/>
      </c>
      <c r="F18" s="16">
        <f>D18-E18</f>
        <v/>
      </c>
      <c r="G18" s="16">
        <f>SUM(Amortization!F$5:INDEX(Amortization!F:F,MIN(172,364)))</f>
        <v/>
      </c>
      <c r="H18" s="16">
        <f>SUM(Amortization!E$5:INDEX(Amortization!E:E,MIN(172,364)))+SUM(Amortization!G$5:INDEX(Amortization!G:G,MIN(172,364)))</f>
        <v/>
      </c>
    </row>
    <row r="19">
      <c r="A19" s="19" t="n">
        <v>15</v>
      </c>
      <c r="B19" s="20">
        <f>Inputs!$B$5*(1+Inputs!$B$15)^A19</f>
        <v/>
      </c>
      <c r="C19" s="20">
        <f>IFERROR(INDEX(Amortization!I:I,MIN(184,364)),0)</f>
        <v/>
      </c>
      <c r="D19" s="20">
        <f>B19-C19</f>
        <v/>
      </c>
      <c r="E19" s="20">
        <f>B19*Inputs!$B$18</f>
        <v/>
      </c>
      <c r="F19" s="20">
        <f>D19-E19</f>
        <v/>
      </c>
      <c r="G19" s="20">
        <f>SUM(Amortization!F$5:INDEX(Amortization!F:F,MIN(184,364)))</f>
        <v/>
      </c>
      <c r="H19" s="20">
        <f>SUM(Amortization!E$5:INDEX(Amortization!E:E,MIN(184,364)))+SUM(Amortization!G$5:INDEX(Amortization!G:G,MIN(184,364)))</f>
        <v/>
      </c>
    </row>
    <row r="20">
      <c r="A20" t="n">
        <v>16</v>
      </c>
      <c r="B20" s="16">
        <f>Inputs!$B$5*(1+Inputs!$B$15)^A20</f>
        <v/>
      </c>
      <c r="C20" s="16">
        <f>IFERROR(INDEX(Amortization!I:I,MIN(196,364)),0)</f>
        <v/>
      </c>
      <c r="D20" s="16">
        <f>B20-C20</f>
        <v/>
      </c>
      <c r="E20" s="16">
        <f>B20*Inputs!$B$18</f>
        <v/>
      </c>
      <c r="F20" s="16">
        <f>D20-E20</f>
        <v/>
      </c>
      <c r="G20" s="16">
        <f>SUM(Amortization!F$5:INDEX(Amortization!F:F,MIN(196,364)))</f>
        <v/>
      </c>
      <c r="H20" s="16">
        <f>SUM(Amortization!E$5:INDEX(Amortization!E:E,MIN(196,364)))+SUM(Amortization!G$5:INDEX(Amortization!G:G,MIN(196,364)))</f>
        <v/>
      </c>
    </row>
    <row r="21">
      <c r="A21" t="n">
        <v>17</v>
      </c>
      <c r="B21" s="16">
        <f>Inputs!$B$5*(1+Inputs!$B$15)^A21</f>
        <v/>
      </c>
      <c r="C21" s="16">
        <f>IFERROR(INDEX(Amortization!I:I,MIN(208,364)),0)</f>
        <v/>
      </c>
      <c r="D21" s="16">
        <f>B21-C21</f>
        <v/>
      </c>
      <c r="E21" s="16">
        <f>B21*Inputs!$B$18</f>
        <v/>
      </c>
      <c r="F21" s="16">
        <f>D21-E21</f>
        <v/>
      </c>
      <c r="G21" s="16">
        <f>SUM(Amortization!F$5:INDEX(Amortization!F:F,MIN(208,364)))</f>
        <v/>
      </c>
      <c r="H21" s="16">
        <f>SUM(Amortization!E$5:INDEX(Amortization!E:E,MIN(208,364)))+SUM(Amortization!G$5:INDEX(Amortization!G:G,MIN(208,364)))</f>
        <v/>
      </c>
    </row>
    <row r="22">
      <c r="A22" t="n">
        <v>18</v>
      </c>
      <c r="B22" s="16">
        <f>Inputs!$B$5*(1+Inputs!$B$15)^A22</f>
        <v/>
      </c>
      <c r="C22" s="16">
        <f>IFERROR(INDEX(Amortization!I:I,MIN(220,364)),0)</f>
        <v/>
      </c>
      <c r="D22" s="16">
        <f>B22-C22</f>
        <v/>
      </c>
      <c r="E22" s="16">
        <f>B22*Inputs!$B$18</f>
        <v/>
      </c>
      <c r="F22" s="16">
        <f>D22-E22</f>
        <v/>
      </c>
      <c r="G22" s="16">
        <f>SUM(Amortization!F$5:INDEX(Amortization!F:F,MIN(220,364)))</f>
        <v/>
      </c>
      <c r="H22" s="16">
        <f>SUM(Amortization!E$5:INDEX(Amortization!E:E,MIN(220,364)))+SUM(Amortization!G$5:INDEX(Amortization!G:G,MIN(220,364)))</f>
        <v/>
      </c>
    </row>
    <row r="23">
      <c r="A23" t="n">
        <v>19</v>
      </c>
      <c r="B23" s="16">
        <f>Inputs!$B$5*(1+Inputs!$B$15)^A23</f>
        <v/>
      </c>
      <c r="C23" s="16">
        <f>IFERROR(INDEX(Amortization!I:I,MIN(232,364)),0)</f>
        <v/>
      </c>
      <c r="D23" s="16">
        <f>B23-C23</f>
        <v/>
      </c>
      <c r="E23" s="16">
        <f>B23*Inputs!$B$18</f>
        <v/>
      </c>
      <c r="F23" s="16">
        <f>D23-E23</f>
        <v/>
      </c>
      <c r="G23" s="16">
        <f>SUM(Amortization!F$5:INDEX(Amortization!F:F,MIN(232,364)))</f>
        <v/>
      </c>
      <c r="H23" s="16">
        <f>SUM(Amortization!E$5:INDEX(Amortization!E:E,MIN(232,364)))+SUM(Amortization!G$5:INDEX(Amortization!G:G,MIN(232,364)))</f>
        <v/>
      </c>
    </row>
    <row r="24">
      <c r="A24" s="19" t="n">
        <v>20</v>
      </c>
      <c r="B24" s="20">
        <f>Inputs!$B$5*(1+Inputs!$B$15)^A24</f>
        <v/>
      </c>
      <c r="C24" s="20">
        <f>IFERROR(INDEX(Amortization!I:I,MIN(244,364)),0)</f>
        <v/>
      </c>
      <c r="D24" s="20">
        <f>B24-C24</f>
        <v/>
      </c>
      <c r="E24" s="20">
        <f>B24*Inputs!$B$18</f>
        <v/>
      </c>
      <c r="F24" s="20">
        <f>D24-E24</f>
        <v/>
      </c>
      <c r="G24" s="20">
        <f>SUM(Amortization!F$5:INDEX(Amortization!F:F,MIN(244,364)))</f>
        <v/>
      </c>
      <c r="H24" s="20">
        <f>SUM(Amortization!E$5:INDEX(Amortization!E:E,MIN(244,364)))+SUM(Amortization!G$5:INDEX(Amortization!G:G,MIN(244,364)))</f>
        <v/>
      </c>
    </row>
    <row r="25">
      <c r="A25" t="n">
        <v>21</v>
      </c>
      <c r="B25" s="16">
        <f>Inputs!$B$5*(1+Inputs!$B$15)^A25</f>
        <v/>
      </c>
      <c r="C25" s="16">
        <f>IFERROR(INDEX(Amortization!I:I,MIN(256,364)),0)</f>
        <v/>
      </c>
      <c r="D25" s="16">
        <f>B25-C25</f>
        <v/>
      </c>
      <c r="E25" s="16">
        <f>B25*Inputs!$B$18</f>
        <v/>
      </c>
      <c r="F25" s="16">
        <f>D25-E25</f>
        <v/>
      </c>
      <c r="G25" s="16">
        <f>SUM(Amortization!F$5:INDEX(Amortization!F:F,MIN(256,364)))</f>
        <v/>
      </c>
      <c r="H25" s="16">
        <f>SUM(Amortization!E$5:INDEX(Amortization!E:E,MIN(256,364)))+SUM(Amortization!G$5:INDEX(Amortization!G:G,MIN(256,364)))</f>
        <v/>
      </c>
    </row>
    <row r="26">
      <c r="A26" t="n">
        <v>22</v>
      </c>
      <c r="B26" s="16">
        <f>Inputs!$B$5*(1+Inputs!$B$15)^A26</f>
        <v/>
      </c>
      <c r="C26" s="16">
        <f>IFERROR(INDEX(Amortization!I:I,MIN(268,364)),0)</f>
        <v/>
      </c>
      <c r="D26" s="16">
        <f>B26-C26</f>
        <v/>
      </c>
      <c r="E26" s="16">
        <f>B26*Inputs!$B$18</f>
        <v/>
      </c>
      <c r="F26" s="16">
        <f>D26-E26</f>
        <v/>
      </c>
      <c r="G26" s="16">
        <f>SUM(Amortization!F$5:INDEX(Amortization!F:F,MIN(268,364)))</f>
        <v/>
      </c>
      <c r="H26" s="16">
        <f>SUM(Amortization!E$5:INDEX(Amortization!E:E,MIN(268,364)))+SUM(Amortization!G$5:INDEX(Amortization!G:G,MIN(268,364)))</f>
        <v/>
      </c>
    </row>
    <row r="27">
      <c r="A27" t="n">
        <v>23</v>
      </c>
      <c r="B27" s="16">
        <f>Inputs!$B$5*(1+Inputs!$B$15)^A27</f>
        <v/>
      </c>
      <c r="C27" s="16">
        <f>IFERROR(INDEX(Amortization!I:I,MIN(280,364)),0)</f>
        <v/>
      </c>
      <c r="D27" s="16">
        <f>B27-C27</f>
        <v/>
      </c>
      <c r="E27" s="16">
        <f>B27*Inputs!$B$18</f>
        <v/>
      </c>
      <c r="F27" s="16">
        <f>D27-E27</f>
        <v/>
      </c>
      <c r="G27" s="16">
        <f>SUM(Amortization!F$5:INDEX(Amortization!F:F,MIN(280,364)))</f>
        <v/>
      </c>
      <c r="H27" s="16">
        <f>SUM(Amortization!E$5:INDEX(Amortization!E:E,MIN(280,364)))+SUM(Amortization!G$5:INDEX(Amortization!G:G,MIN(280,364)))</f>
        <v/>
      </c>
    </row>
    <row r="28">
      <c r="A28" t="n">
        <v>24</v>
      </c>
      <c r="B28" s="16">
        <f>Inputs!$B$5*(1+Inputs!$B$15)^A28</f>
        <v/>
      </c>
      <c r="C28" s="16">
        <f>IFERROR(INDEX(Amortization!I:I,MIN(292,364)),0)</f>
        <v/>
      </c>
      <c r="D28" s="16">
        <f>B28-C28</f>
        <v/>
      </c>
      <c r="E28" s="16">
        <f>B28*Inputs!$B$18</f>
        <v/>
      </c>
      <c r="F28" s="16">
        <f>D28-E28</f>
        <v/>
      </c>
      <c r="G28" s="16">
        <f>SUM(Amortization!F$5:INDEX(Amortization!F:F,MIN(292,364)))</f>
        <v/>
      </c>
      <c r="H28" s="16">
        <f>SUM(Amortization!E$5:INDEX(Amortization!E:E,MIN(292,364)))+SUM(Amortization!G$5:INDEX(Amortization!G:G,MIN(292,364)))</f>
        <v/>
      </c>
    </row>
    <row r="29">
      <c r="A29" s="19" t="n">
        <v>25</v>
      </c>
      <c r="B29" s="20">
        <f>Inputs!$B$5*(1+Inputs!$B$15)^A29</f>
        <v/>
      </c>
      <c r="C29" s="20">
        <f>IFERROR(INDEX(Amortization!I:I,MIN(304,364)),0)</f>
        <v/>
      </c>
      <c r="D29" s="20">
        <f>B29-C29</f>
        <v/>
      </c>
      <c r="E29" s="20">
        <f>B29*Inputs!$B$18</f>
        <v/>
      </c>
      <c r="F29" s="20">
        <f>D29-E29</f>
        <v/>
      </c>
      <c r="G29" s="20">
        <f>SUM(Amortization!F$5:INDEX(Amortization!F:F,MIN(304,364)))</f>
        <v/>
      </c>
      <c r="H29" s="20">
        <f>SUM(Amortization!E$5:INDEX(Amortization!E:E,MIN(304,364)))+SUM(Amortization!G$5:INDEX(Amortization!G:G,MIN(304,364)))</f>
        <v/>
      </c>
    </row>
    <row r="30">
      <c r="A30" t="n">
        <v>26</v>
      </c>
      <c r="B30" s="16">
        <f>Inputs!$B$5*(1+Inputs!$B$15)^A30</f>
        <v/>
      </c>
      <c r="C30" s="16">
        <f>IFERROR(INDEX(Amortization!I:I,MIN(316,364)),0)</f>
        <v/>
      </c>
      <c r="D30" s="16">
        <f>B30-C30</f>
        <v/>
      </c>
      <c r="E30" s="16">
        <f>B30*Inputs!$B$18</f>
        <v/>
      </c>
      <c r="F30" s="16">
        <f>D30-E30</f>
        <v/>
      </c>
      <c r="G30" s="16">
        <f>SUM(Amortization!F$5:INDEX(Amortization!F:F,MIN(316,364)))</f>
        <v/>
      </c>
      <c r="H30" s="16">
        <f>SUM(Amortization!E$5:INDEX(Amortization!E:E,MIN(316,364)))+SUM(Amortization!G$5:INDEX(Amortization!G:G,MIN(316,364)))</f>
        <v/>
      </c>
    </row>
    <row r="31">
      <c r="A31" t="n">
        <v>27</v>
      </c>
      <c r="B31" s="16">
        <f>Inputs!$B$5*(1+Inputs!$B$15)^A31</f>
        <v/>
      </c>
      <c r="C31" s="16">
        <f>IFERROR(INDEX(Amortization!I:I,MIN(328,364)),0)</f>
        <v/>
      </c>
      <c r="D31" s="16">
        <f>B31-C31</f>
        <v/>
      </c>
      <c r="E31" s="16">
        <f>B31*Inputs!$B$18</f>
        <v/>
      </c>
      <c r="F31" s="16">
        <f>D31-E31</f>
        <v/>
      </c>
      <c r="G31" s="16">
        <f>SUM(Amortization!F$5:INDEX(Amortization!F:F,MIN(328,364)))</f>
        <v/>
      </c>
      <c r="H31" s="16">
        <f>SUM(Amortization!E$5:INDEX(Amortization!E:E,MIN(328,364)))+SUM(Amortization!G$5:INDEX(Amortization!G:G,MIN(328,364)))</f>
        <v/>
      </c>
    </row>
    <row r="32">
      <c r="A32" t="n">
        <v>28</v>
      </c>
      <c r="B32" s="16">
        <f>Inputs!$B$5*(1+Inputs!$B$15)^A32</f>
        <v/>
      </c>
      <c r="C32" s="16">
        <f>IFERROR(INDEX(Amortization!I:I,MIN(340,364)),0)</f>
        <v/>
      </c>
      <c r="D32" s="16">
        <f>B32-C32</f>
        <v/>
      </c>
      <c r="E32" s="16">
        <f>B32*Inputs!$B$18</f>
        <v/>
      </c>
      <c r="F32" s="16">
        <f>D32-E32</f>
        <v/>
      </c>
      <c r="G32" s="16">
        <f>SUM(Amortization!F$5:INDEX(Amortization!F:F,MIN(340,364)))</f>
        <v/>
      </c>
      <c r="H32" s="16">
        <f>SUM(Amortization!E$5:INDEX(Amortization!E:E,MIN(340,364)))+SUM(Amortization!G$5:INDEX(Amortization!G:G,MIN(340,364)))</f>
        <v/>
      </c>
    </row>
    <row r="33">
      <c r="A33" t="n">
        <v>29</v>
      </c>
      <c r="B33" s="16">
        <f>Inputs!$B$5*(1+Inputs!$B$15)^A33</f>
        <v/>
      </c>
      <c r="C33" s="16">
        <f>IFERROR(INDEX(Amortization!I:I,MIN(352,364)),0)</f>
        <v/>
      </c>
      <c r="D33" s="16">
        <f>B33-C33</f>
        <v/>
      </c>
      <c r="E33" s="16">
        <f>B33*Inputs!$B$18</f>
        <v/>
      </c>
      <c r="F33" s="16">
        <f>D33-E33</f>
        <v/>
      </c>
      <c r="G33" s="16">
        <f>SUM(Amortization!F$5:INDEX(Amortization!F:F,MIN(352,364)))</f>
        <v/>
      </c>
      <c r="H33" s="16">
        <f>SUM(Amortization!E$5:INDEX(Amortization!E:E,MIN(352,364)))+SUM(Amortization!G$5:INDEX(Amortization!G:G,MIN(352,364)))</f>
        <v/>
      </c>
    </row>
    <row r="34">
      <c r="A34" s="19" t="n">
        <v>30</v>
      </c>
      <c r="B34" s="20">
        <f>Inputs!$B$5*(1+Inputs!$B$15)^A34</f>
        <v/>
      </c>
      <c r="C34" s="20">
        <f>IFERROR(INDEX(Amortization!I:I,MIN(364,364)),0)</f>
        <v/>
      </c>
      <c r="D34" s="20">
        <f>B34-C34</f>
        <v/>
      </c>
      <c r="E34" s="20">
        <f>B34*Inputs!$B$18</f>
        <v/>
      </c>
      <c r="F34" s="20">
        <f>D34-E34</f>
        <v/>
      </c>
      <c r="G34" s="20">
        <f>SUM(Amortization!F$5:INDEX(Amortization!F:F,MIN(364,364)))</f>
        <v/>
      </c>
      <c r="H34" s="20">
        <f>SUM(Amortization!E$5:INDEX(Amortization!E:E,MIN(364,364)))+SUM(Amortization!G$5:INDEX(Amortization!G:G,MIN(364,364)))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Rent vs. Buy Comparison</t>
        </is>
      </c>
    </row>
    <row r="2">
      <c r="A2" s="3" t="inlineStr">
        <is>
          <t>Compares net wealth path of buying (net equity − ownership costs) vs. renting (down payment invested − rent paid).</t>
        </is>
      </c>
    </row>
    <row r="4">
      <c r="A4" s="14" t="inlineStr">
        <is>
          <t>Year</t>
        </is>
      </c>
      <c r="B4" s="14" t="inlineStr">
        <is>
          <t>Annual Buy Cost</t>
        </is>
      </c>
      <c r="C4" s="14" t="inlineStr">
        <is>
          <t>Cum. Buy Cost</t>
        </is>
      </c>
      <c r="D4" s="14" t="inlineStr">
        <is>
          <t>Annual Rent</t>
        </is>
      </c>
      <c r="E4" s="14" t="inlineStr">
        <is>
          <t>Cum. Rent</t>
        </is>
      </c>
      <c r="F4" s="14" t="inlineStr">
        <is>
          <t>Investment Acct</t>
        </is>
      </c>
      <c r="G4" s="14" t="inlineStr">
        <is>
          <t>Buy Net Wealth</t>
        </is>
      </c>
      <c r="H4" s="14" t="inlineStr">
        <is>
          <t>Rent Net Wealth</t>
        </is>
      </c>
      <c r="I4" s="14" t="inlineStr">
        <is>
          <t>Buy − Rent</t>
        </is>
      </c>
    </row>
    <row r="5">
      <c r="A5" t="n">
        <v>1</v>
      </c>
      <c r="B5" s="16">
        <f>SUM(Amortization!D5:D16)+SUM(Amortization!G5:G16)+12*(Inputs!$B$67*(1+Inputs!$B$29)^(A5-1)+Inputs!$B$68*(1+Inputs!$B$30)^(A5-1)+Inputs!$B$70)+SUM(Amortization!H5:H16)*Inputs!$B$69+Inputs!$B$16*Appreciation!B5</f>
        <v/>
      </c>
      <c r="C5" s="16">
        <f>Inputs!$B$71+B5</f>
        <v/>
      </c>
      <c r="D5" s="16">
        <f>Inputs!$B$22*12*(1+Inputs!$B$23)^(A5-1)</f>
        <v/>
      </c>
      <c r="E5" s="16">
        <f>D5</f>
        <v/>
      </c>
      <c r="F5" s="16">
        <f>(Inputs!$B$62+Inputs!$B$71)*(1+Inputs!$B$24)^A5</f>
        <v/>
      </c>
      <c r="G5" s="16">
        <f>Appreciation!F5-C5</f>
        <v/>
      </c>
      <c r="H5" s="16">
        <f>F5-E5</f>
        <v/>
      </c>
      <c r="I5" s="16">
        <f>G5-H5</f>
        <v/>
      </c>
    </row>
    <row r="6">
      <c r="A6" t="n">
        <v>2</v>
      </c>
      <c r="B6" s="16">
        <f>SUM(Amortization!D17:D28)+SUM(Amortization!G17:G28)+12*(Inputs!$B$67*(1+Inputs!$B$29)^(A6-1)+Inputs!$B$68*(1+Inputs!$B$30)^(A6-1)+Inputs!$B$70)+SUM(Amortization!H17:H28)*Inputs!$B$69+Inputs!$B$16*Appreciation!B6</f>
        <v/>
      </c>
      <c r="C6" s="16">
        <f>C5+B6</f>
        <v/>
      </c>
      <c r="D6" s="16">
        <f>Inputs!$B$22*12*(1+Inputs!$B$23)^(A6-1)</f>
        <v/>
      </c>
      <c r="E6" s="16">
        <f>E5+D6</f>
        <v/>
      </c>
      <c r="F6" s="16">
        <f>(Inputs!$B$62+Inputs!$B$71)*(1+Inputs!$B$24)^A6</f>
        <v/>
      </c>
      <c r="G6" s="16">
        <f>Appreciation!F6-C6</f>
        <v/>
      </c>
      <c r="H6" s="16">
        <f>F6-E6</f>
        <v/>
      </c>
      <c r="I6" s="16">
        <f>G6-H6</f>
        <v/>
      </c>
    </row>
    <row r="7">
      <c r="A7" t="n">
        <v>3</v>
      </c>
      <c r="B7" s="16">
        <f>SUM(Amortization!D29:D40)+SUM(Amortization!G29:G40)+12*(Inputs!$B$67*(1+Inputs!$B$29)^(A7-1)+Inputs!$B$68*(1+Inputs!$B$30)^(A7-1)+Inputs!$B$70)+SUM(Amortization!H29:H40)*Inputs!$B$69+Inputs!$B$16*Appreciation!B7</f>
        <v/>
      </c>
      <c r="C7" s="16">
        <f>C6+B7</f>
        <v/>
      </c>
      <c r="D7" s="16">
        <f>Inputs!$B$22*12*(1+Inputs!$B$23)^(A7-1)</f>
        <v/>
      </c>
      <c r="E7" s="16">
        <f>E6+D7</f>
        <v/>
      </c>
      <c r="F7" s="16">
        <f>(Inputs!$B$62+Inputs!$B$71)*(1+Inputs!$B$24)^A7</f>
        <v/>
      </c>
      <c r="G7" s="16">
        <f>Appreciation!F7-C7</f>
        <v/>
      </c>
      <c r="H7" s="16">
        <f>F7-E7</f>
        <v/>
      </c>
      <c r="I7" s="16">
        <f>G7-H7</f>
        <v/>
      </c>
    </row>
    <row r="8">
      <c r="A8" t="n">
        <v>4</v>
      </c>
      <c r="B8" s="16">
        <f>SUM(Amortization!D41:D52)+SUM(Amortization!G41:G52)+12*(Inputs!$B$67*(1+Inputs!$B$29)^(A8-1)+Inputs!$B$68*(1+Inputs!$B$30)^(A8-1)+Inputs!$B$70)+SUM(Amortization!H41:H52)*Inputs!$B$69+Inputs!$B$16*Appreciation!B8</f>
        <v/>
      </c>
      <c r="C8" s="16">
        <f>C7+B8</f>
        <v/>
      </c>
      <c r="D8" s="16">
        <f>Inputs!$B$22*12*(1+Inputs!$B$23)^(A8-1)</f>
        <v/>
      </c>
      <c r="E8" s="16">
        <f>E7+D8</f>
        <v/>
      </c>
      <c r="F8" s="16">
        <f>(Inputs!$B$62+Inputs!$B$71)*(1+Inputs!$B$24)^A8</f>
        <v/>
      </c>
      <c r="G8" s="16">
        <f>Appreciation!F8-C8</f>
        <v/>
      </c>
      <c r="H8" s="16">
        <f>F8-E8</f>
        <v/>
      </c>
      <c r="I8" s="16">
        <f>G8-H8</f>
        <v/>
      </c>
    </row>
    <row r="9">
      <c r="A9" t="n">
        <v>5</v>
      </c>
      <c r="B9" s="16">
        <f>SUM(Amortization!D53:D64)+SUM(Amortization!G53:G64)+12*(Inputs!$B$67*(1+Inputs!$B$29)^(A9-1)+Inputs!$B$68*(1+Inputs!$B$30)^(A9-1)+Inputs!$B$70)+SUM(Amortization!H53:H64)*Inputs!$B$69+Inputs!$B$16*Appreciation!B9</f>
        <v/>
      </c>
      <c r="C9" s="16">
        <f>C8+B9</f>
        <v/>
      </c>
      <c r="D9" s="16">
        <f>Inputs!$B$22*12*(1+Inputs!$B$23)^(A9-1)</f>
        <v/>
      </c>
      <c r="E9" s="16">
        <f>E8+D9</f>
        <v/>
      </c>
      <c r="F9" s="16">
        <f>(Inputs!$B$62+Inputs!$B$71)*(1+Inputs!$B$24)^A9</f>
        <v/>
      </c>
      <c r="G9" s="16">
        <f>Appreciation!F9-C9</f>
        <v/>
      </c>
      <c r="H9" s="16">
        <f>F9-E9</f>
        <v/>
      </c>
      <c r="I9" s="16">
        <f>G9-H9</f>
        <v/>
      </c>
    </row>
    <row r="10">
      <c r="A10" t="n">
        <v>6</v>
      </c>
      <c r="B10" s="16">
        <f>SUM(Amortization!D65:D76)+SUM(Amortization!G65:G76)+12*(Inputs!$B$67*(1+Inputs!$B$29)^(A10-1)+Inputs!$B$68*(1+Inputs!$B$30)^(A10-1)+Inputs!$B$70)+SUM(Amortization!H65:H76)*Inputs!$B$69+Inputs!$B$16*Appreciation!B10</f>
        <v/>
      </c>
      <c r="C10" s="16">
        <f>C9+B10</f>
        <v/>
      </c>
      <c r="D10" s="16">
        <f>Inputs!$B$22*12*(1+Inputs!$B$23)^(A10-1)</f>
        <v/>
      </c>
      <c r="E10" s="16">
        <f>E9+D10</f>
        <v/>
      </c>
      <c r="F10" s="16">
        <f>(Inputs!$B$62+Inputs!$B$71)*(1+Inputs!$B$24)^A10</f>
        <v/>
      </c>
      <c r="G10" s="16">
        <f>Appreciation!F10-C10</f>
        <v/>
      </c>
      <c r="H10" s="16">
        <f>F10-E10</f>
        <v/>
      </c>
      <c r="I10" s="16">
        <f>G10-H10</f>
        <v/>
      </c>
    </row>
    <row r="11">
      <c r="A11" t="n">
        <v>7</v>
      </c>
      <c r="B11" s="16">
        <f>SUM(Amortization!D77:D88)+SUM(Amortization!G77:G88)+12*(Inputs!$B$67*(1+Inputs!$B$29)^(A11-1)+Inputs!$B$68*(1+Inputs!$B$30)^(A11-1)+Inputs!$B$70)+SUM(Amortization!H77:H88)*Inputs!$B$69+Inputs!$B$16*Appreciation!B11</f>
        <v/>
      </c>
      <c r="C11" s="16">
        <f>C10+B11</f>
        <v/>
      </c>
      <c r="D11" s="16">
        <f>Inputs!$B$22*12*(1+Inputs!$B$23)^(A11-1)</f>
        <v/>
      </c>
      <c r="E11" s="16">
        <f>E10+D11</f>
        <v/>
      </c>
      <c r="F11" s="16">
        <f>(Inputs!$B$62+Inputs!$B$71)*(1+Inputs!$B$24)^A11</f>
        <v/>
      </c>
      <c r="G11" s="16">
        <f>Appreciation!F11-C11</f>
        <v/>
      </c>
      <c r="H11" s="16">
        <f>F11-E11</f>
        <v/>
      </c>
      <c r="I11" s="16">
        <f>G11-H11</f>
        <v/>
      </c>
    </row>
    <row r="12">
      <c r="A12" t="n">
        <v>8</v>
      </c>
      <c r="B12" s="16">
        <f>SUM(Amortization!D89:D100)+SUM(Amortization!G89:G100)+12*(Inputs!$B$67*(1+Inputs!$B$29)^(A12-1)+Inputs!$B$68*(1+Inputs!$B$30)^(A12-1)+Inputs!$B$70)+SUM(Amortization!H89:H100)*Inputs!$B$69+Inputs!$B$16*Appreciation!B12</f>
        <v/>
      </c>
      <c r="C12" s="16">
        <f>C11+B12</f>
        <v/>
      </c>
      <c r="D12" s="16">
        <f>Inputs!$B$22*12*(1+Inputs!$B$23)^(A12-1)</f>
        <v/>
      </c>
      <c r="E12" s="16">
        <f>E11+D12</f>
        <v/>
      </c>
      <c r="F12" s="16">
        <f>(Inputs!$B$62+Inputs!$B$71)*(1+Inputs!$B$24)^A12</f>
        <v/>
      </c>
      <c r="G12" s="16">
        <f>Appreciation!F12-C12</f>
        <v/>
      </c>
      <c r="H12" s="16">
        <f>F12-E12</f>
        <v/>
      </c>
      <c r="I12" s="16">
        <f>G12-H12</f>
        <v/>
      </c>
    </row>
    <row r="13">
      <c r="A13" t="n">
        <v>9</v>
      </c>
      <c r="B13" s="16">
        <f>SUM(Amortization!D101:D112)+SUM(Amortization!G101:G112)+12*(Inputs!$B$67*(1+Inputs!$B$29)^(A13-1)+Inputs!$B$68*(1+Inputs!$B$30)^(A13-1)+Inputs!$B$70)+SUM(Amortization!H101:H112)*Inputs!$B$69+Inputs!$B$16*Appreciation!B13</f>
        <v/>
      </c>
      <c r="C13" s="16">
        <f>C12+B13</f>
        <v/>
      </c>
      <c r="D13" s="16">
        <f>Inputs!$B$22*12*(1+Inputs!$B$23)^(A13-1)</f>
        <v/>
      </c>
      <c r="E13" s="16">
        <f>E12+D13</f>
        <v/>
      </c>
      <c r="F13" s="16">
        <f>(Inputs!$B$62+Inputs!$B$71)*(1+Inputs!$B$24)^A13</f>
        <v/>
      </c>
      <c r="G13" s="16">
        <f>Appreciation!F13-C13</f>
        <v/>
      </c>
      <c r="H13" s="16">
        <f>F13-E13</f>
        <v/>
      </c>
      <c r="I13" s="16">
        <f>G13-H13</f>
        <v/>
      </c>
    </row>
    <row r="14">
      <c r="A14" t="n">
        <v>10</v>
      </c>
      <c r="B14" s="16">
        <f>SUM(Amortization!D113:D124)+SUM(Amortization!G113:G124)+12*(Inputs!$B$67*(1+Inputs!$B$29)^(A14-1)+Inputs!$B$68*(1+Inputs!$B$30)^(A14-1)+Inputs!$B$70)+SUM(Amortization!H113:H124)*Inputs!$B$69+Inputs!$B$16*Appreciation!B14</f>
        <v/>
      </c>
      <c r="C14" s="16">
        <f>C13+B14</f>
        <v/>
      </c>
      <c r="D14" s="16">
        <f>Inputs!$B$22*12*(1+Inputs!$B$23)^(A14-1)</f>
        <v/>
      </c>
      <c r="E14" s="16">
        <f>E13+D14</f>
        <v/>
      </c>
      <c r="F14" s="16">
        <f>(Inputs!$B$62+Inputs!$B$71)*(1+Inputs!$B$24)^A14</f>
        <v/>
      </c>
      <c r="G14" s="16">
        <f>Appreciation!F14-C14</f>
        <v/>
      </c>
      <c r="H14" s="16">
        <f>F14-E14</f>
        <v/>
      </c>
      <c r="I14" s="16">
        <f>G14-H14</f>
        <v/>
      </c>
    </row>
    <row r="15">
      <c r="A15" t="n">
        <v>11</v>
      </c>
      <c r="B15" s="16">
        <f>SUM(Amortization!D125:D136)+SUM(Amortization!G125:G136)+12*(Inputs!$B$67*(1+Inputs!$B$29)^(A15-1)+Inputs!$B$68*(1+Inputs!$B$30)^(A15-1)+Inputs!$B$70)+SUM(Amortization!H125:H136)*Inputs!$B$69+Inputs!$B$16*Appreciation!B15</f>
        <v/>
      </c>
      <c r="C15" s="16">
        <f>C14+B15</f>
        <v/>
      </c>
      <c r="D15" s="16">
        <f>Inputs!$B$22*12*(1+Inputs!$B$23)^(A15-1)</f>
        <v/>
      </c>
      <c r="E15" s="16">
        <f>E14+D15</f>
        <v/>
      </c>
      <c r="F15" s="16">
        <f>(Inputs!$B$62+Inputs!$B$71)*(1+Inputs!$B$24)^A15</f>
        <v/>
      </c>
      <c r="G15" s="16">
        <f>Appreciation!F15-C15</f>
        <v/>
      </c>
      <c r="H15" s="16">
        <f>F15-E15</f>
        <v/>
      </c>
      <c r="I15" s="16">
        <f>G15-H15</f>
        <v/>
      </c>
    </row>
    <row r="16">
      <c r="A16" t="n">
        <v>12</v>
      </c>
      <c r="B16" s="16">
        <f>SUM(Amortization!D137:D148)+SUM(Amortization!G137:G148)+12*(Inputs!$B$67*(1+Inputs!$B$29)^(A16-1)+Inputs!$B$68*(1+Inputs!$B$30)^(A16-1)+Inputs!$B$70)+SUM(Amortization!H137:H148)*Inputs!$B$69+Inputs!$B$16*Appreciation!B16</f>
        <v/>
      </c>
      <c r="C16" s="16">
        <f>C15+B16</f>
        <v/>
      </c>
      <c r="D16" s="16">
        <f>Inputs!$B$22*12*(1+Inputs!$B$23)^(A16-1)</f>
        <v/>
      </c>
      <c r="E16" s="16">
        <f>E15+D16</f>
        <v/>
      </c>
      <c r="F16" s="16">
        <f>(Inputs!$B$62+Inputs!$B$71)*(1+Inputs!$B$24)^A16</f>
        <v/>
      </c>
      <c r="G16" s="16">
        <f>Appreciation!F16-C16</f>
        <v/>
      </c>
      <c r="H16" s="16">
        <f>F16-E16</f>
        <v/>
      </c>
      <c r="I16" s="16">
        <f>G16-H16</f>
        <v/>
      </c>
    </row>
    <row r="17">
      <c r="A17" t="n">
        <v>13</v>
      </c>
      <c r="B17" s="16">
        <f>SUM(Amortization!D149:D160)+SUM(Amortization!G149:G160)+12*(Inputs!$B$67*(1+Inputs!$B$29)^(A17-1)+Inputs!$B$68*(1+Inputs!$B$30)^(A17-1)+Inputs!$B$70)+SUM(Amortization!H149:H160)*Inputs!$B$69+Inputs!$B$16*Appreciation!B17</f>
        <v/>
      </c>
      <c r="C17" s="16">
        <f>C16+B17</f>
        <v/>
      </c>
      <c r="D17" s="16">
        <f>Inputs!$B$22*12*(1+Inputs!$B$23)^(A17-1)</f>
        <v/>
      </c>
      <c r="E17" s="16">
        <f>E16+D17</f>
        <v/>
      </c>
      <c r="F17" s="16">
        <f>(Inputs!$B$62+Inputs!$B$71)*(1+Inputs!$B$24)^A17</f>
        <v/>
      </c>
      <c r="G17" s="16">
        <f>Appreciation!F17-C17</f>
        <v/>
      </c>
      <c r="H17" s="16">
        <f>F17-E17</f>
        <v/>
      </c>
      <c r="I17" s="16">
        <f>G17-H17</f>
        <v/>
      </c>
    </row>
    <row r="18">
      <c r="A18" t="n">
        <v>14</v>
      </c>
      <c r="B18" s="16">
        <f>SUM(Amortization!D161:D172)+SUM(Amortization!G161:G172)+12*(Inputs!$B$67*(1+Inputs!$B$29)^(A18-1)+Inputs!$B$68*(1+Inputs!$B$30)^(A18-1)+Inputs!$B$70)+SUM(Amortization!H161:H172)*Inputs!$B$69+Inputs!$B$16*Appreciation!B18</f>
        <v/>
      </c>
      <c r="C18" s="16">
        <f>C17+B18</f>
        <v/>
      </c>
      <c r="D18" s="16">
        <f>Inputs!$B$22*12*(1+Inputs!$B$23)^(A18-1)</f>
        <v/>
      </c>
      <c r="E18" s="16">
        <f>E17+D18</f>
        <v/>
      </c>
      <c r="F18" s="16">
        <f>(Inputs!$B$62+Inputs!$B$71)*(1+Inputs!$B$24)^A18</f>
        <v/>
      </c>
      <c r="G18" s="16">
        <f>Appreciation!F18-C18</f>
        <v/>
      </c>
      <c r="H18" s="16">
        <f>F18-E18</f>
        <v/>
      </c>
      <c r="I18" s="16">
        <f>G18-H18</f>
        <v/>
      </c>
    </row>
    <row r="19">
      <c r="A19" t="n">
        <v>15</v>
      </c>
      <c r="B19" s="16">
        <f>SUM(Amortization!D173:D184)+SUM(Amortization!G173:G184)+12*(Inputs!$B$67*(1+Inputs!$B$29)^(A19-1)+Inputs!$B$68*(1+Inputs!$B$30)^(A19-1)+Inputs!$B$70)+SUM(Amortization!H173:H184)*Inputs!$B$69+Inputs!$B$16*Appreciation!B19</f>
        <v/>
      </c>
      <c r="C19" s="16">
        <f>C18+B19</f>
        <v/>
      </c>
      <c r="D19" s="16">
        <f>Inputs!$B$22*12*(1+Inputs!$B$23)^(A19-1)</f>
        <v/>
      </c>
      <c r="E19" s="16">
        <f>E18+D19</f>
        <v/>
      </c>
      <c r="F19" s="16">
        <f>(Inputs!$B$62+Inputs!$B$71)*(1+Inputs!$B$24)^A19</f>
        <v/>
      </c>
      <c r="G19" s="16">
        <f>Appreciation!F19-C19</f>
        <v/>
      </c>
      <c r="H19" s="16">
        <f>F19-E19</f>
        <v/>
      </c>
      <c r="I19" s="16">
        <f>G19-H19</f>
        <v/>
      </c>
    </row>
    <row r="20">
      <c r="A20" t="n">
        <v>16</v>
      </c>
      <c r="B20" s="16">
        <f>SUM(Amortization!D185:D196)+SUM(Amortization!G185:G196)+12*(Inputs!$B$67*(1+Inputs!$B$29)^(A20-1)+Inputs!$B$68*(1+Inputs!$B$30)^(A20-1)+Inputs!$B$70)+SUM(Amortization!H185:H196)*Inputs!$B$69+Inputs!$B$16*Appreciation!B20</f>
        <v/>
      </c>
      <c r="C20" s="16">
        <f>C19+B20</f>
        <v/>
      </c>
      <c r="D20" s="16">
        <f>Inputs!$B$22*12*(1+Inputs!$B$23)^(A20-1)</f>
        <v/>
      </c>
      <c r="E20" s="16">
        <f>E19+D20</f>
        <v/>
      </c>
      <c r="F20" s="16">
        <f>(Inputs!$B$62+Inputs!$B$71)*(1+Inputs!$B$24)^A20</f>
        <v/>
      </c>
      <c r="G20" s="16">
        <f>Appreciation!F20-C20</f>
        <v/>
      </c>
      <c r="H20" s="16">
        <f>F20-E20</f>
        <v/>
      </c>
      <c r="I20" s="16">
        <f>G20-H20</f>
        <v/>
      </c>
    </row>
    <row r="21">
      <c r="A21" t="n">
        <v>17</v>
      </c>
      <c r="B21" s="16">
        <f>SUM(Amortization!D197:D208)+SUM(Amortization!G197:G208)+12*(Inputs!$B$67*(1+Inputs!$B$29)^(A21-1)+Inputs!$B$68*(1+Inputs!$B$30)^(A21-1)+Inputs!$B$70)+SUM(Amortization!H197:H208)*Inputs!$B$69+Inputs!$B$16*Appreciation!B21</f>
        <v/>
      </c>
      <c r="C21" s="16">
        <f>C20+B21</f>
        <v/>
      </c>
      <c r="D21" s="16">
        <f>Inputs!$B$22*12*(1+Inputs!$B$23)^(A21-1)</f>
        <v/>
      </c>
      <c r="E21" s="16">
        <f>E20+D21</f>
        <v/>
      </c>
      <c r="F21" s="16">
        <f>(Inputs!$B$62+Inputs!$B$71)*(1+Inputs!$B$24)^A21</f>
        <v/>
      </c>
      <c r="G21" s="16">
        <f>Appreciation!F21-C21</f>
        <v/>
      </c>
      <c r="H21" s="16">
        <f>F21-E21</f>
        <v/>
      </c>
      <c r="I21" s="16">
        <f>G21-H21</f>
        <v/>
      </c>
    </row>
    <row r="22">
      <c r="A22" t="n">
        <v>18</v>
      </c>
      <c r="B22" s="16">
        <f>SUM(Amortization!D209:D220)+SUM(Amortization!G209:G220)+12*(Inputs!$B$67*(1+Inputs!$B$29)^(A22-1)+Inputs!$B$68*(1+Inputs!$B$30)^(A22-1)+Inputs!$B$70)+SUM(Amortization!H209:H220)*Inputs!$B$69+Inputs!$B$16*Appreciation!B22</f>
        <v/>
      </c>
      <c r="C22" s="16">
        <f>C21+B22</f>
        <v/>
      </c>
      <c r="D22" s="16">
        <f>Inputs!$B$22*12*(1+Inputs!$B$23)^(A22-1)</f>
        <v/>
      </c>
      <c r="E22" s="16">
        <f>E21+D22</f>
        <v/>
      </c>
      <c r="F22" s="16">
        <f>(Inputs!$B$62+Inputs!$B$71)*(1+Inputs!$B$24)^A22</f>
        <v/>
      </c>
      <c r="G22" s="16">
        <f>Appreciation!F22-C22</f>
        <v/>
      </c>
      <c r="H22" s="16">
        <f>F22-E22</f>
        <v/>
      </c>
      <c r="I22" s="16">
        <f>G22-H22</f>
        <v/>
      </c>
    </row>
    <row r="23">
      <c r="A23" t="n">
        <v>19</v>
      </c>
      <c r="B23" s="16">
        <f>SUM(Amortization!D221:D232)+SUM(Amortization!G221:G232)+12*(Inputs!$B$67*(1+Inputs!$B$29)^(A23-1)+Inputs!$B$68*(1+Inputs!$B$30)^(A23-1)+Inputs!$B$70)+SUM(Amortization!H221:H232)*Inputs!$B$69+Inputs!$B$16*Appreciation!B23</f>
        <v/>
      </c>
      <c r="C23" s="16">
        <f>C22+B23</f>
        <v/>
      </c>
      <c r="D23" s="16">
        <f>Inputs!$B$22*12*(1+Inputs!$B$23)^(A23-1)</f>
        <v/>
      </c>
      <c r="E23" s="16">
        <f>E22+D23</f>
        <v/>
      </c>
      <c r="F23" s="16">
        <f>(Inputs!$B$62+Inputs!$B$71)*(1+Inputs!$B$24)^A23</f>
        <v/>
      </c>
      <c r="G23" s="16">
        <f>Appreciation!F23-C23</f>
        <v/>
      </c>
      <c r="H23" s="16">
        <f>F23-E23</f>
        <v/>
      </c>
      <c r="I23" s="16">
        <f>G23-H23</f>
        <v/>
      </c>
    </row>
    <row r="24">
      <c r="A24" t="n">
        <v>20</v>
      </c>
      <c r="B24" s="16">
        <f>SUM(Amortization!D233:D244)+SUM(Amortization!G233:G244)+12*(Inputs!$B$67*(1+Inputs!$B$29)^(A24-1)+Inputs!$B$68*(1+Inputs!$B$30)^(A24-1)+Inputs!$B$70)+SUM(Amortization!H233:H244)*Inputs!$B$69+Inputs!$B$16*Appreciation!B24</f>
        <v/>
      </c>
      <c r="C24" s="16">
        <f>C23+B24</f>
        <v/>
      </c>
      <c r="D24" s="16">
        <f>Inputs!$B$22*12*(1+Inputs!$B$23)^(A24-1)</f>
        <v/>
      </c>
      <c r="E24" s="16">
        <f>E23+D24</f>
        <v/>
      </c>
      <c r="F24" s="16">
        <f>(Inputs!$B$62+Inputs!$B$71)*(1+Inputs!$B$24)^A24</f>
        <v/>
      </c>
      <c r="G24" s="16">
        <f>Appreciation!F24-C24</f>
        <v/>
      </c>
      <c r="H24" s="16">
        <f>F24-E24</f>
        <v/>
      </c>
      <c r="I24" s="16">
        <f>G24-H24</f>
        <v/>
      </c>
    </row>
    <row r="25">
      <c r="A25" t="n">
        <v>21</v>
      </c>
      <c r="B25" s="16">
        <f>SUM(Amortization!D245:D256)+SUM(Amortization!G245:G256)+12*(Inputs!$B$67*(1+Inputs!$B$29)^(A25-1)+Inputs!$B$68*(1+Inputs!$B$30)^(A25-1)+Inputs!$B$70)+SUM(Amortization!H245:H256)*Inputs!$B$69+Inputs!$B$16*Appreciation!B25</f>
        <v/>
      </c>
      <c r="C25" s="16">
        <f>C24+B25</f>
        <v/>
      </c>
      <c r="D25" s="16">
        <f>Inputs!$B$22*12*(1+Inputs!$B$23)^(A25-1)</f>
        <v/>
      </c>
      <c r="E25" s="16">
        <f>E24+D25</f>
        <v/>
      </c>
      <c r="F25" s="16">
        <f>(Inputs!$B$62+Inputs!$B$71)*(1+Inputs!$B$24)^A25</f>
        <v/>
      </c>
      <c r="G25" s="16">
        <f>Appreciation!F25-C25</f>
        <v/>
      </c>
      <c r="H25" s="16">
        <f>F25-E25</f>
        <v/>
      </c>
      <c r="I25" s="16">
        <f>G25-H25</f>
        <v/>
      </c>
    </row>
    <row r="26">
      <c r="A26" t="n">
        <v>22</v>
      </c>
      <c r="B26" s="16">
        <f>SUM(Amortization!D257:D268)+SUM(Amortization!G257:G268)+12*(Inputs!$B$67*(1+Inputs!$B$29)^(A26-1)+Inputs!$B$68*(1+Inputs!$B$30)^(A26-1)+Inputs!$B$70)+SUM(Amortization!H257:H268)*Inputs!$B$69+Inputs!$B$16*Appreciation!B26</f>
        <v/>
      </c>
      <c r="C26" s="16">
        <f>C25+B26</f>
        <v/>
      </c>
      <c r="D26" s="16">
        <f>Inputs!$B$22*12*(1+Inputs!$B$23)^(A26-1)</f>
        <v/>
      </c>
      <c r="E26" s="16">
        <f>E25+D26</f>
        <v/>
      </c>
      <c r="F26" s="16">
        <f>(Inputs!$B$62+Inputs!$B$71)*(1+Inputs!$B$24)^A26</f>
        <v/>
      </c>
      <c r="G26" s="16">
        <f>Appreciation!F26-C26</f>
        <v/>
      </c>
      <c r="H26" s="16">
        <f>F26-E26</f>
        <v/>
      </c>
      <c r="I26" s="16">
        <f>G26-H26</f>
        <v/>
      </c>
    </row>
    <row r="27">
      <c r="A27" t="n">
        <v>23</v>
      </c>
      <c r="B27" s="16">
        <f>SUM(Amortization!D269:D280)+SUM(Amortization!G269:G280)+12*(Inputs!$B$67*(1+Inputs!$B$29)^(A27-1)+Inputs!$B$68*(1+Inputs!$B$30)^(A27-1)+Inputs!$B$70)+SUM(Amortization!H269:H280)*Inputs!$B$69+Inputs!$B$16*Appreciation!B27</f>
        <v/>
      </c>
      <c r="C27" s="16">
        <f>C26+B27</f>
        <v/>
      </c>
      <c r="D27" s="16">
        <f>Inputs!$B$22*12*(1+Inputs!$B$23)^(A27-1)</f>
        <v/>
      </c>
      <c r="E27" s="16">
        <f>E26+D27</f>
        <v/>
      </c>
      <c r="F27" s="16">
        <f>(Inputs!$B$62+Inputs!$B$71)*(1+Inputs!$B$24)^A27</f>
        <v/>
      </c>
      <c r="G27" s="16">
        <f>Appreciation!F27-C27</f>
        <v/>
      </c>
      <c r="H27" s="16">
        <f>F27-E27</f>
        <v/>
      </c>
      <c r="I27" s="16">
        <f>G27-H27</f>
        <v/>
      </c>
    </row>
    <row r="28">
      <c r="A28" t="n">
        <v>24</v>
      </c>
      <c r="B28" s="16">
        <f>SUM(Amortization!D281:D292)+SUM(Amortization!G281:G292)+12*(Inputs!$B$67*(1+Inputs!$B$29)^(A28-1)+Inputs!$B$68*(1+Inputs!$B$30)^(A28-1)+Inputs!$B$70)+SUM(Amortization!H281:H292)*Inputs!$B$69+Inputs!$B$16*Appreciation!B28</f>
        <v/>
      </c>
      <c r="C28" s="16">
        <f>C27+B28</f>
        <v/>
      </c>
      <c r="D28" s="16">
        <f>Inputs!$B$22*12*(1+Inputs!$B$23)^(A28-1)</f>
        <v/>
      </c>
      <c r="E28" s="16">
        <f>E27+D28</f>
        <v/>
      </c>
      <c r="F28" s="16">
        <f>(Inputs!$B$62+Inputs!$B$71)*(1+Inputs!$B$24)^A28</f>
        <v/>
      </c>
      <c r="G28" s="16">
        <f>Appreciation!F28-C28</f>
        <v/>
      </c>
      <c r="H28" s="16">
        <f>F28-E28</f>
        <v/>
      </c>
      <c r="I28" s="16">
        <f>G28-H28</f>
        <v/>
      </c>
    </row>
    <row r="29">
      <c r="A29" t="n">
        <v>25</v>
      </c>
      <c r="B29" s="16">
        <f>SUM(Amortization!D293:D304)+SUM(Amortization!G293:G304)+12*(Inputs!$B$67*(1+Inputs!$B$29)^(A29-1)+Inputs!$B$68*(1+Inputs!$B$30)^(A29-1)+Inputs!$B$70)+SUM(Amortization!H293:H304)*Inputs!$B$69+Inputs!$B$16*Appreciation!B29</f>
        <v/>
      </c>
      <c r="C29" s="16">
        <f>C28+B29</f>
        <v/>
      </c>
      <c r="D29" s="16">
        <f>Inputs!$B$22*12*(1+Inputs!$B$23)^(A29-1)</f>
        <v/>
      </c>
      <c r="E29" s="16">
        <f>E28+D29</f>
        <v/>
      </c>
      <c r="F29" s="16">
        <f>(Inputs!$B$62+Inputs!$B$71)*(1+Inputs!$B$24)^A29</f>
        <v/>
      </c>
      <c r="G29" s="16">
        <f>Appreciation!F29-C29</f>
        <v/>
      </c>
      <c r="H29" s="16">
        <f>F29-E29</f>
        <v/>
      </c>
      <c r="I29" s="16">
        <f>G29-H29</f>
        <v/>
      </c>
    </row>
    <row r="30">
      <c r="A30" t="n">
        <v>26</v>
      </c>
      <c r="B30" s="16">
        <f>SUM(Amortization!D305:D316)+SUM(Amortization!G305:G316)+12*(Inputs!$B$67*(1+Inputs!$B$29)^(A30-1)+Inputs!$B$68*(1+Inputs!$B$30)^(A30-1)+Inputs!$B$70)+SUM(Amortization!H305:H316)*Inputs!$B$69+Inputs!$B$16*Appreciation!B30</f>
        <v/>
      </c>
      <c r="C30" s="16">
        <f>C29+B30</f>
        <v/>
      </c>
      <c r="D30" s="16">
        <f>Inputs!$B$22*12*(1+Inputs!$B$23)^(A30-1)</f>
        <v/>
      </c>
      <c r="E30" s="16">
        <f>E29+D30</f>
        <v/>
      </c>
      <c r="F30" s="16">
        <f>(Inputs!$B$62+Inputs!$B$71)*(1+Inputs!$B$24)^A30</f>
        <v/>
      </c>
      <c r="G30" s="16">
        <f>Appreciation!F30-C30</f>
        <v/>
      </c>
      <c r="H30" s="16">
        <f>F30-E30</f>
        <v/>
      </c>
      <c r="I30" s="16">
        <f>G30-H30</f>
        <v/>
      </c>
    </row>
    <row r="31">
      <c r="A31" t="n">
        <v>27</v>
      </c>
      <c r="B31" s="16">
        <f>SUM(Amortization!D317:D328)+SUM(Amortization!G317:G328)+12*(Inputs!$B$67*(1+Inputs!$B$29)^(A31-1)+Inputs!$B$68*(1+Inputs!$B$30)^(A31-1)+Inputs!$B$70)+SUM(Amortization!H317:H328)*Inputs!$B$69+Inputs!$B$16*Appreciation!B31</f>
        <v/>
      </c>
      <c r="C31" s="16">
        <f>C30+B31</f>
        <v/>
      </c>
      <c r="D31" s="16">
        <f>Inputs!$B$22*12*(1+Inputs!$B$23)^(A31-1)</f>
        <v/>
      </c>
      <c r="E31" s="16">
        <f>E30+D31</f>
        <v/>
      </c>
      <c r="F31" s="16">
        <f>(Inputs!$B$62+Inputs!$B$71)*(1+Inputs!$B$24)^A31</f>
        <v/>
      </c>
      <c r="G31" s="16">
        <f>Appreciation!F31-C31</f>
        <v/>
      </c>
      <c r="H31" s="16">
        <f>F31-E31</f>
        <v/>
      </c>
      <c r="I31" s="16">
        <f>G31-H31</f>
        <v/>
      </c>
    </row>
    <row r="32">
      <c r="A32" t="n">
        <v>28</v>
      </c>
      <c r="B32" s="16">
        <f>SUM(Amortization!D329:D340)+SUM(Amortization!G329:G340)+12*(Inputs!$B$67*(1+Inputs!$B$29)^(A32-1)+Inputs!$B$68*(1+Inputs!$B$30)^(A32-1)+Inputs!$B$70)+SUM(Amortization!H329:H340)*Inputs!$B$69+Inputs!$B$16*Appreciation!B32</f>
        <v/>
      </c>
      <c r="C32" s="16">
        <f>C31+B32</f>
        <v/>
      </c>
      <c r="D32" s="16">
        <f>Inputs!$B$22*12*(1+Inputs!$B$23)^(A32-1)</f>
        <v/>
      </c>
      <c r="E32" s="16">
        <f>E31+D32</f>
        <v/>
      </c>
      <c r="F32" s="16">
        <f>(Inputs!$B$62+Inputs!$B$71)*(1+Inputs!$B$24)^A32</f>
        <v/>
      </c>
      <c r="G32" s="16">
        <f>Appreciation!F32-C32</f>
        <v/>
      </c>
      <c r="H32" s="16">
        <f>F32-E32</f>
        <v/>
      </c>
      <c r="I32" s="16">
        <f>G32-H32</f>
        <v/>
      </c>
    </row>
    <row r="33">
      <c r="A33" t="n">
        <v>29</v>
      </c>
      <c r="B33" s="16">
        <f>SUM(Amortization!D341:D352)+SUM(Amortization!G341:G352)+12*(Inputs!$B$67*(1+Inputs!$B$29)^(A33-1)+Inputs!$B$68*(1+Inputs!$B$30)^(A33-1)+Inputs!$B$70)+SUM(Amortization!H341:H352)*Inputs!$B$69+Inputs!$B$16*Appreciation!B33</f>
        <v/>
      </c>
      <c r="C33" s="16">
        <f>C32+B33</f>
        <v/>
      </c>
      <c r="D33" s="16">
        <f>Inputs!$B$22*12*(1+Inputs!$B$23)^(A33-1)</f>
        <v/>
      </c>
      <c r="E33" s="16">
        <f>E32+D33</f>
        <v/>
      </c>
      <c r="F33" s="16">
        <f>(Inputs!$B$62+Inputs!$B$71)*(1+Inputs!$B$24)^A33</f>
        <v/>
      </c>
      <c r="G33" s="16">
        <f>Appreciation!F33-C33</f>
        <v/>
      </c>
      <c r="H33" s="16">
        <f>F33-E33</f>
        <v/>
      </c>
      <c r="I33" s="16">
        <f>G33-H33</f>
        <v/>
      </c>
    </row>
    <row r="34">
      <c r="A34" t="n">
        <v>30</v>
      </c>
      <c r="B34" s="16">
        <f>SUM(Amortization!D353:D364)+SUM(Amortization!G353:G364)+12*(Inputs!$B$67*(1+Inputs!$B$29)^(A34-1)+Inputs!$B$68*(1+Inputs!$B$30)^(A34-1)+Inputs!$B$70)+SUM(Amortization!H353:H364)*Inputs!$B$69+Inputs!$B$16*Appreciation!B34</f>
        <v/>
      </c>
      <c r="C34" s="16">
        <f>C33+B34</f>
        <v/>
      </c>
      <c r="D34" s="16">
        <f>Inputs!$B$22*12*(1+Inputs!$B$23)^(A34-1)</f>
        <v/>
      </c>
      <c r="E34" s="16">
        <f>E33+D34</f>
        <v/>
      </c>
      <c r="F34" s="16">
        <f>(Inputs!$B$62+Inputs!$B$71)*(1+Inputs!$B$24)^A34</f>
        <v/>
      </c>
      <c r="G34" s="16">
        <f>Appreciation!F34-C34</f>
        <v/>
      </c>
      <c r="H34" s="16">
        <f>F34-E34</f>
        <v/>
      </c>
      <c r="I34" s="16">
        <f>G34-H34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8" customWidth="1" min="4" max="4"/>
    <col width="18" customWidth="1" min="5" max="5"/>
    <col width="40" customWidth="1" min="6" max="6"/>
  </cols>
  <sheetData>
    <row r="1">
      <c r="A1" s="1" t="inlineStr">
        <is>
          <t>Affordability — Minimum Required Household Income</t>
        </is>
      </c>
    </row>
    <row r="2">
      <c r="A2" s="3" t="inlineStr">
        <is>
          <t>Back-solves the gross annual income needed for this payment under various DTI standards.</t>
        </is>
      </c>
    </row>
    <row r="4">
      <c r="A4" s="12" t="inlineStr">
        <is>
          <t>Monthly housing (PITI + PMI + HOA)</t>
        </is>
      </c>
      <c r="B4" s="13">
        <f>Inputs!$B$81</f>
        <v/>
      </c>
    </row>
    <row r="5">
      <c r="A5" s="4" t="inlineStr">
        <is>
          <t>Other monthly debts</t>
        </is>
      </c>
      <c r="B5" s="9">
        <f>Inputs!$B$26</f>
        <v/>
      </c>
    </row>
    <row r="6">
      <c r="A6" s="12" t="inlineStr">
        <is>
          <t>Total monthly obligations</t>
        </is>
      </c>
      <c r="B6" s="21">
        <f>Affordability!$B$4+Affordability!$B$5</f>
        <v/>
      </c>
    </row>
    <row r="8">
      <c r="A8" s="14" t="inlineStr">
        <is>
          <t>Standard</t>
        </is>
      </c>
      <c r="B8" s="14" t="inlineStr">
        <is>
          <t>Front-end %</t>
        </is>
      </c>
      <c r="C8" s="14" t="inlineStr">
        <is>
          <t>Back-end %</t>
        </is>
      </c>
      <c r="D8" s="14" t="inlineStr">
        <is>
          <t>Req. gross/year</t>
        </is>
      </c>
      <c r="E8" s="14" t="inlineStr">
        <is>
          <t>Req. gross/month</t>
        </is>
      </c>
      <c r="F8" s="14" t="inlineStr">
        <is>
          <t>Comment</t>
        </is>
      </c>
    </row>
    <row r="9">
      <c r="A9" s="22" t="inlineStr">
        <is>
          <t>Conservative (Ramsey 25%)</t>
        </is>
      </c>
      <c r="B9" s="23" t="n">
        <v>0.25</v>
      </c>
      <c r="C9" s="23" t="n">
        <v>0.25</v>
      </c>
      <c r="D9" s="24">
        <f>MAX(Affordability!$B$4/B9,Affordability!$B$6/C9)*12</f>
        <v/>
      </c>
      <c r="E9" s="24">
        <f>MAX(Affordability!$B$4/B9,Affordability!$B$6/C9)</f>
        <v/>
      </c>
      <c r="F9" s="25" t="inlineStr">
        <is>
          <t>Most conservative; leaves room for everything else.</t>
        </is>
      </c>
    </row>
    <row r="10">
      <c r="A10" s="22" t="inlineStr">
        <is>
          <t>Classic 28/36 rule</t>
        </is>
      </c>
      <c r="B10" s="23" t="n">
        <v>0.28</v>
      </c>
      <c r="C10" s="23" t="n">
        <v>0.36</v>
      </c>
      <c r="D10" s="24">
        <f>MAX(Affordability!$B$4/B10,Affordability!$B$6/C10)*12</f>
        <v/>
      </c>
      <c r="E10" s="24">
        <f>MAX(Affordability!$B$4/B10,Affordability!$B$6/C10)</f>
        <v/>
      </c>
      <c r="F10" s="25" t="inlineStr">
        <is>
          <t>Conventional lender baseline.</t>
        </is>
      </c>
    </row>
    <row r="11">
      <c r="A11" s="22" t="inlineStr">
        <is>
          <t>FHA upper limit (31/43)</t>
        </is>
      </c>
      <c r="B11" s="23" t="n">
        <v>0.31</v>
      </c>
      <c r="C11" s="23" t="n">
        <v>0.43</v>
      </c>
      <c r="D11" s="24">
        <f>MAX(Affordability!$B$4/B11,Affordability!$B$6/C11)*12</f>
        <v/>
      </c>
      <c r="E11" s="24">
        <f>MAX(Affordability!$B$4/B11,Affordability!$B$6/C11)</f>
        <v/>
      </c>
      <c r="F11" s="25" t="inlineStr">
        <is>
          <t>Stretched but qualifies for FHA.</t>
        </is>
      </c>
    </row>
    <row r="12">
      <c r="A12" s="22" t="inlineStr">
        <is>
          <t>Aggressive (35/45)</t>
        </is>
      </c>
      <c r="B12" s="23" t="n">
        <v>0.35</v>
      </c>
      <c r="C12" s="23" t="n">
        <v>0.45</v>
      </c>
      <c r="D12" s="24">
        <f>MAX(Affordability!$B$4/B12,Affordability!$B$6/C12)*12</f>
        <v/>
      </c>
      <c r="E12" s="24">
        <f>MAX(Affordability!$B$4/B12,Affordability!$B$6/C12)</f>
        <v/>
      </c>
      <c r="F12" s="25" t="inlineStr">
        <is>
          <t>Risky — leaves little margin for shocks.</t>
        </is>
      </c>
    </row>
    <row r="13">
      <c r="A13" s="26" t="inlineStr">
        <is>
          <t>Custom (from Inputs)</t>
        </is>
      </c>
      <c r="B13" s="23">
        <f>Inputs!$B$27</f>
        <v/>
      </c>
      <c r="C13" s="23">
        <f>Inputs!$B$27+0.08</f>
        <v/>
      </c>
      <c r="D13" s="27">
        <f>MAX(Affordability!$B$4/B13,Affordability!$B$6/C13)*12</f>
        <v/>
      </c>
      <c r="E13" s="27">
        <f>MAX(Affordability!$B$4/B13,Affordability!$B$6/C13)</f>
        <v/>
      </c>
      <c r="F13" s="25" t="inlineStr">
        <is>
          <t>Your custom front-end. Back-end = front + 8 pts.</t>
        </is>
      </c>
    </row>
    <row r="15">
      <c r="A15" s="3" t="inlineStr">
        <is>
          <t>Formula: required_income = MAX( housing/front_DTI, total_obligations/back_DTI ) × 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40" customWidth="1" min="4" max="4"/>
  </cols>
  <sheetData>
    <row r="1">
      <c r="A1" s="1" t="inlineStr">
        <is>
          <t>Cash to Close</t>
        </is>
      </c>
    </row>
    <row r="2">
      <c r="A2" s="3" t="inlineStr">
        <is>
          <t>Cash needed at closing and recommended liquid retention.</t>
        </is>
      </c>
    </row>
    <row r="4">
      <c r="A4" s="2" t="inlineStr">
        <is>
          <t>STEP 1 — Cash needed at closing</t>
        </is>
      </c>
    </row>
    <row r="5">
      <c r="A5" s="4" t="inlineStr">
        <is>
          <t>Down payment</t>
        </is>
      </c>
      <c r="B5" s="9">
        <f>Inputs!$B$62</f>
        <v/>
      </c>
      <c r="D5" s="3" t="inlineStr">
        <is>
          <t>Spent at close</t>
        </is>
      </c>
    </row>
    <row r="6">
      <c r="A6" s="4" t="inlineStr">
        <is>
          <t>Closing costs</t>
        </is>
      </c>
      <c r="B6" s="9">
        <f>Inputs!$B$71</f>
        <v/>
      </c>
      <c r="D6" s="3" t="inlineStr">
        <is>
          <t>Spent at close</t>
        </is>
      </c>
    </row>
    <row r="7">
      <c r="A7" s="4" t="inlineStr">
        <is>
          <t>Move-in / repairs</t>
        </is>
      </c>
      <c r="B7" s="9">
        <f>Inputs!$B$32</f>
        <v/>
      </c>
      <c r="D7" s="3" t="inlineStr">
        <is>
          <t>Spent at close</t>
        </is>
      </c>
    </row>
    <row r="8">
      <c r="A8" s="4" t="inlineStr">
        <is>
          <t>Lender reserves</t>
        </is>
      </c>
      <c r="B8" s="9">
        <f>Inputs!$B$81*Inputs!$B$33</f>
        <v/>
      </c>
      <c r="D8" s="3" t="inlineStr">
        <is>
          <t>Stays in account post-close</t>
        </is>
      </c>
    </row>
    <row r="9">
      <c r="A9" s="12" t="inlineStr">
        <is>
          <t>Total cash needed at close</t>
        </is>
      </c>
      <c r="B9" s="13">
        <f>SUM(B5:B8)</f>
        <v/>
      </c>
    </row>
    <row r="11">
      <c r="A11" s="4" t="inlineStr">
        <is>
          <t>Liquid remaining after close</t>
        </is>
      </c>
      <c r="B11" s="9">
        <f>Inputs!$B$35-Inputs!$B$62-Inputs!$B$71-Inputs!$B$32</f>
        <v/>
      </c>
      <c r="D11" s="3" t="inlineStr">
        <is>
          <t>Includes lender reserves; those stay liquid</t>
        </is>
      </c>
    </row>
    <row r="13">
      <c r="A13" s="2" t="inlineStr">
        <is>
          <t>STEP 2 — Recommended liquid retention</t>
        </is>
      </c>
    </row>
    <row r="14">
      <c r="A14" s="4" t="inlineStr">
        <is>
          <t>Monthly cost of living (housing + other)</t>
        </is>
      </c>
      <c r="B14" s="9">
        <f>Inputs!$B$37+Inputs!$B$81</f>
        <v/>
      </c>
    </row>
    <row r="15">
      <c r="A15" s="4" t="inlineStr">
        <is>
          <t>Emergency fund target</t>
        </is>
      </c>
      <c r="B15" s="9">
        <f>'Cash to Close'!$B$14*Inputs!$B$38</f>
        <v/>
      </c>
      <c r="D15" s="3" t="inlineStr">
        <is>
          <t>Full living costs × emergency months</t>
        </is>
      </c>
    </row>
    <row r="16">
      <c r="A16" s="4" t="inlineStr">
        <is>
          <t>Lender reserves (subset of emergency fund)</t>
        </is>
      </c>
      <c r="B16" s="9">
        <f>Inputs!$B$81*Inputs!$B$33</f>
        <v/>
      </c>
    </row>
    <row r="17">
      <c r="A17" s="12" t="inlineStr">
        <is>
          <t>Total liquid to retain</t>
        </is>
      </c>
      <c r="B17" s="21">
        <f>MAX('Cash to Close'!$B$15,Inputs!$B$81*Inputs!$B$33)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40" customWidth="1" min="4" max="4"/>
  </cols>
  <sheetData>
    <row r="1">
      <c r="A1" s="1" t="inlineStr">
        <is>
          <t>Buy Today Analysis</t>
        </is>
      </c>
    </row>
    <row r="2">
      <c r="A2" s="3" t="inlineStr">
        <is>
          <t>What your position looks like if you buy today with current assets.</t>
        </is>
      </c>
    </row>
    <row r="4">
      <c r="A4" s="2" t="inlineStr">
        <is>
          <t>LIQUIDITY CHECK</t>
        </is>
      </c>
    </row>
    <row r="5">
      <c r="A5" s="4" t="inlineStr">
        <is>
          <t>Current liquid assets</t>
        </is>
      </c>
      <c r="B5" s="9">
        <f>Inputs!$B$35</f>
        <v/>
      </c>
    </row>
    <row r="6">
      <c r="A6" s="4" t="inlineStr">
        <is>
          <t>% of liquid used for closing</t>
        </is>
      </c>
      <c r="B6" s="28">
        <f>IF(Inputs!$B$35&gt;0,'Cash to Close'!$B$9/Inputs!$B$35,1)</f>
        <v/>
      </c>
    </row>
    <row r="7">
      <c r="A7" s="12" t="inlineStr">
        <is>
          <t>Liquid remaining after close</t>
        </is>
      </c>
      <c r="B7" s="21">
        <f>'Cash to Close'!$B$11</f>
        <v/>
      </c>
    </row>
    <row r="8">
      <c r="A8" s="4" t="inlineStr">
        <is>
          <t>Emergency fund target</t>
        </is>
      </c>
      <c r="B8" s="9">
        <f>'Cash to Close'!$B$15</f>
        <v/>
      </c>
    </row>
    <row r="10">
      <c r="A10" s="2" t="inlineStr">
        <is>
          <t>CONCENTRATION CAP</t>
        </is>
      </c>
    </row>
    <row r="11">
      <c r="A11" s="4" t="inlineStr">
        <is>
          <t>Planned down payment</t>
        </is>
      </c>
      <c r="B11" s="9">
        <f>Inputs!$B$62</f>
        <v/>
      </c>
    </row>
    <row r="12">
      <c r="A12" s="12" t="inlineStr">
        <is>
          <t>Liquid required at purchase</t>
        </is>
      </c>
      <c r="B12" s="13">
        <f>IF(Inputs!$B$39&gt;0,Inputs!$B$62/Inputs!$B$39,0)</f>
        <v/>
      </c>
      <c r="C12" s="3" t="inlineStr">
        <is>
          <t>Planned DP ÷ Max % of liquid</t>
        </is>
      </c>
    </row>
    <row r="13">
      <c r="A13" s="4" t="inlineStr">
        <is>
          <t>Current liquid</t>
        </is>
      </c>
      <c r="B13" s="9">
        <f>Inputs!$B$35</f>
        <v/>
      </c>
    </row>
    <row r="14">
      <c r="A14" s="12" t="inlineStr">
        <is>
          <t>Surplus / shortfall</t>
        </is>
      </c>
      <c r="B14" s="29">
        <f>Inputs!$B$35-'Buy Today'!$B$12</f>
        <v/>
      </c>
      <c r="C14" s="3" t="inlineStr">
        <is>
          <t>Positive = surplus. Negative = need more liquid.</t>
        </is>
      </c>
    </row>
    <row r="15">
      <c r="A15" s="4" t="inlineStr">
        <is>
          <t>Monthly return (for savings calc)</t>
        </is>
      </c>
      <c r="B15" s="30">
        <f>(1+Inputs!$B$24)^(1/12)-1</f>
        <v/>
      </c>
    </row>
    <row r="16">
      <c r="A16" s="12" t="inlineStr">
        <is>
          <t>Time to reach goal</t>
        </is>
      </c>
      <c r="B16" s="31">
        <f>IF('Buy Today'!$B$14&gt;=0,"Already there",IF(Inputs!$B$36&lt;=0,"Need savings",IFERROR(NPER('Buy Today'!$B$15,-Inputs!$B$36,0,-'Buy Today'!$B$14)/12,0)&amp;" yr"))</f>
        <v/>
      </c>
      <c r="C16" s="3" t="inlineStr">
        <is>
          <t>Years to save to reach required liquid</t>
        </is>
      </c>
    </row>
    <row r="17">
      <c r="A17" s="12" t="inlineStr">
        <is>
          <t>Status</t>
        </is>
      </c>
      <c r="B17" s="32">
        <f>IF(Inputs!$B$35&gt;='Buy Today'!$B$12,"OK — within concentration cap","Below — save more, lower DP, or raise cap")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Tax Benefits — Mortgage Interest, SALT, and Capital Gains</t>
        </is>
      </c>
    </row>
    <row r="2">
      <c r="A2" s="3" t="inlineStr">
        <is>
          <t>Federal benefits from itemizing vs standard, plus $250K/$500K Section 121 exclusion on sale.</t>
        </is>
      </c>
    </row>
    <row r="4">
      <c r="A4" s="14" t="inlineStr">
        <is>
          <t>Item</t>
        </is>
      </c>
      <c r="B4" s="14" t="inlineStr">
        <is>
          <t>Year 1</t>
        </is>
      </c>
      <c r="C4" s="14" t="inlineStr">
        <is>
          <t>Year 5</t>
        </is>
      </c>
      <c r="D4" s="14" t="inlineStr">
        <is>
          <t>Year 10</t>
        </is>
      </c>
      <c r="E4" s="14" t="inlineStr">
        <is>
          <t>Year 30</t>
        </is>
      </c>
    </row>
    <row r="5">
      <c r="A5" s="4" t="inlineStr">
        <is>
          <t>Mortgage interest paid</t>
        </is>
      </c>
      <c r="B5" s="9">
        <f>SUM(Amortization!F5:F16)</f>
        <v/>
      </c>
      <c r="C5" s="9">
        <f>SUM(Amortization!F53:F64)</f>
        <v/>
      </c>
      <c r="D5" s="9">
        <f>SUM(Amortization!F113:F124)</f>
        <v/>
      </c>
      <c r="E5" s="9">
        <f>SUM(Amortization!F353:F364)</f>
        <v/>
      </c>
      <c r="F5" s="3" t="inlineStr">
        <is>
          <t>From amortization</t>
        </is>
      </c>
    </row>
    <row r="6">
      <c r="A6" s="4" t="inlineStr">
        <is>
          <t>Deductible interest (post-TCJA $750K cap)</t>
        </is>
      </c>
      <c r="B6" s="9">
        <f>B5*IF(Inputs!$B$63&gt;750000,750000/Inputs!$B$63,1)</f>
        <v/>
      </c>
      <c r="C6" s="9">
        <f>C5*IF(Inputs!$B$63&gt;750000,750000/Inputs!$B$63,1)</f>
        <v/>
      </c>
      <c r="D6" s="9">
        <f>D5*IF(Inputs!$B$63&gt;750000,750000/Inputs!$B$63,1)</f>
        <v/>
      </c>
      <c r="E6" s="9">
        <f>E5*IF(Inputs!$B$63&gt;750000,750000/Inputs!$B$63,1)</f>
        <v/>
      </c>
      <c r="F6" s="3" t="inlineStr">
        <is>
          <t>If loan &gt; $750K, scale interest proportionally</t>
        </is>
      </c>
    </row>
    <row r="7">
      <c r="A7" s="4" t="inlineStr">
        <is>
          <t>Property tax (escalated)</t>
        </is>
      </c>
      <c r="B7" s="9">
        <f>Inputs!$B$10*Inputs!$B$5*(1+Inputs!$B$29)^(1-1)</f>
        <v/>
      </c>
      <c r="C7" s="9">
        <f>Inputs!$B$10*Inputs!$B$5*(1+Inputs!$B$29)^(5-1)</f>
        <v/>
      </c>
      <c r="D7" s="9">
        <f>Inputs!$B$10*Inputs!$B$5*(1+Inputs!$B$29)^(10-1)</f>
        <v/>
      </c>
      <c r="E7" s="9">
        <f>Inputs!$B$10*Inputs!$B$5*(1+Inputs!$B$29)^(30-1)</f>
        <v/>
      </c>
      <c r="F7" s="3" t="inlineStr">
        <is>
          <t>Grows at tax-growth rate from Inputs</t>
        </is>
      </c>
    </row>
    <row r="8">
      <c r="A8" s="4" t="inlineStr">
        <is>
          <t>SALT deductible (capped at $10K)</t>
        </is>
      </c>
      <c r="B8" s="9">
        <f>MIN(10000,B7+Inputs!$B$43)</f>
        <v/>
      </c>
      <c r="C8" s="9">
        <f>MIN(10000,C7+Inputs!$B$43)</f>
        <v/>
      </c>
      <c r="D8" s="9">
        <f>MIN(10000,D7+Inputs!$B$43)</f>
        <v/>
      </c>
      <c r="E8" s="9">
        <f>MIN(10000,E7+Inputs!$B$43)</f>
        <v/>
      </c>
      <c r="F8" s="3" t="inlineStr">
        <is>
          <t>Property tax + other SALT, capped at $10K</t>
        </is>
      </c>
    </row>
    <row r="9">
      <c r="A9" s="12" t="inlineStr">
        <is>
          <t>Itemized total</t>
        </is>
      </c>
      <c r="B9" s="29">
        <f>B6+B8</f>
        <v/>
      </c>
      <c r="C9" s="29">
        <f>C6+C8</f>
        <v/>
      </c>
      <c r="D9" s="29">
        <f>D6+D8</f>
        <v/>
      </c>
      <c r="E9" s="29">
        <f>E6+E8</f>
        <v/>
      </c>
    </row>
    <row r="10">
      <c r="A10" s="4" t="inlineStr">
        <is>
          <t>Standard deduction (2024)</t>
        </is>
      </c>
      <c r="B10" s="9">
        <f>IF(Inputs!$B$41="M",29200,14600)</f>
        <v/>
      </c>
      <c r="C10" s="9">
        <f>IF(Inputs!$B$41="M",29200,14600)</f>
        <v/>
      </c>
      <c r="D10" s="9">
        <f>IF(Inputs!$B$41="M",29200,14600)</f>
        <v/>
      </c>
      <c r="E10" s="9">
        <f>IF(Inputs!$B$41="M",29200,14600)</f>
        <v/>
      </c>
    </row>
    <row r="11">
      <c r="A11" s="12" t="inlineStr">
        <is>
          <t>Federal tax savings</t>
        </is>
      </c>
      <c r="B11" s="13">
        <f>MAX(0,B9-B10)*Inputs!$B$42</f>
        <v/>
      </c>
      <c r="C11" s="13">
        <f>MAX(0,C9-C10)*Inputs!$B$42</f>
        <v/>
      </c>
      <c r="D11" s="13">
        <f>MAX(0,D9-D10)*Inputs!$B$42</f>
        <v/>
      </c>
      <c r="E11" s="13">
        <f>MAX(0,E9-E10)*Inputs!$B$42</f>
        <v/>
      </c>
    </row>
    <row r="13">
      <c r="A13" s="2" t="inlineStr">
        <is>
          <t>CAPITAL GAINS AT SALE (Year 30)</t>
        </is>
      </c>
    </row>
    <row r="14">
      <c r="A14" s="4" t="inlineStr">
        <is>
          <t>Sale value (year 30)</t>
        </is>
      </c>
      <c r="B14" s="9">
        <f>Appreciation!B34</f>
        <v/>
      </c>
      <c r="F14" s="3" t="inlineStr">
        <is>
          <t>Home appreciated at the rate in Inputs</t>
        </is>
      </c>
    </row>
    <row r="15">
      <c r="A15" s="4" t="inlineStr">
        <is>
          <t>Selling costs</t>
        </is>
      </c>
      <c r="B15" s="9">
        <f>Appreciation!E34</f>
        <v/>
      </c>
      <c r="F15" s="3" t="inlineStr">
        <is>
          <t>Pct of sale value</t>
        </is>
      </c>
    </row>
    <row r="16">
      <c r="A16" s="4" t="inlineStr">
        <is>
          <t>Cost basis (price + closing)</t>
        </is>
      </c>
      <c r="B16" s="9">
        <f>Inputs!$B$5+Inputs!$B$71</f>
        <v/>
      </c>
      <c r="F16" s="3" t="inlineStr">
        <is>
          <t>Original price + closing costs</t>
        </is>
      </c>
    </row>
    <row r="17">
      <c r="A17" s="4" t="inlineStr">
        <is>
          <t>Gross gain</t>
        </is>
      </c>
      <c r="B17" s="9">
        <f>MAX(0,B14-B15-B16)</f>
        <v/>
      </c>
      <c r="F17" s="3" t="inlineStr">
        <is>
          <t>Sale − selling costs − basis</t>
        </is>
      </c>
    </row>
    <row r="18">
      <c r="A18" s="4" t="inlineStr">
        <is>
          <t>Section 121 exclusion</t>
        </is>
      </c>
      <c r="B18" s="9">
        <f>IF(Inputs!$B$41="M",500000,250000)</f>
        <v/>
      </c>
      <c r="F18" s="3" t="inlineStr">
        <is>
          <t>$500K MFJ / $250K single</t>
        </is>
      </c>
    </row>
    <row r="19">
      <c r="A19" s="4" t="inlineStr">
        <is>
          <t>Taxable gain</t>
        </is>
      </c>
      <c r="B19" s="9">
        <f>MAX(0,B17-B18)</f>
        <v/>
      </c>
      <c r="F19" s="3" t="inlineStr">
        <is>
          <t>Excess over exclusion</t>
        </is>
      </c>
    </row>
    <row r="20">
      <c r="A20" s="4" t="inlineStr">
        <is>
          <t>Federal LTCG tax</t>
        </is>
      </c>
      <c r="B20" s="9">
        <f>B19*Inputs!$B$44</f>
        <v/>
      </c>
      <c r="F20" s="3" t="inlineStr">
        <is>
          <t>Taxable gain × LTCG rate</t>
        </is>
      </c>
    </row>
    <row r="21">
      <c r="A21" s="4" t="inlineStr">
        <is>
          <t>Net equity (pre-tax)</t>
        </is>
      </c>
      <c r="B21" s="9">
        <f>Appreciation!F34</f>
        <v/>
      </c>
      <c r="F21" s="3" t="inlineStr">
        <is>
          <t>From Appreciation sheet</t>
        </is>
      </c>
    </row>
    <row r="22">
      <c r="A22" s="12" t="inlineStr">
        <is>
          <t>After-tax net equity</t>
        </is>
      </c>
      <c r="B22" s="13">
        <f>B21-B20</f>
        <v/>
      </c>
      <c r="F22" s="3" t="inlineStr">
        <is>
          <t>What you actually walk away with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0" customWidth="1" min="3" max="3"/>
  </cols>
  <sheetData>
    <row r="1">
      <c r="A1" s="1" t="inlineStr">
        <is>
          <t>Retirement Tradeoff Analysis</t>
        </is>
      </c>
    </row>
    <row r="2">
      <c r="A2" s="3" t="inlineStr">
        <is>
          <t>How your housing costs affect retirement savings capacity.</t>
        </is>
      </c>
    </row>
    <row r="4">
      <c r="A4" s="2" t="inlineStr">
        <is>
          <t>CURRENT RETIREMENT POSITION</t>
        </is>
      </c>
    </row>
    <row r="5">
      <c r="A5" s="4" t="inlineStr">
        <is>
          <t>Gross monthly income</t>
        </is>
      </c>
      <c r="B5" s="9">
        <f>Inputs!$B$46/12</f>
        <v/>
      </c>
    </row>
    <row r="6">
      <c r="A6" s="4" t="inlineStr">
        <is>
          <t>Current 401k contribution ($/mo)</t>
        </is>
      </c>
      <c r="B6" s="9">
        <f>Inputs!$B$46*Inputs!$B$47/12</f>
        <v/>
      </c>
    </row>
    <row r="7">
      <c r="A7" s="4" t="inlineStr">
        <is>
          <t>Employer match received ($/mo)</t>
        </is>
      </c>
      <c r="B7" s="9">
        <f>MIN(Inputs!$B$46*Inputs!$B$47,Inputs!$B$46*Inputs!$B$49)*Inputs!$B$48/12</f>
        <v/>
      </c>
    </row>
    <row r="8">
      <c r="A8" s="12" t="inlineStr">
        <is>
          <t>Total going to retirement ($/mo)</t>
        </is>
      </c>
      <c r="B8" s="13">
        <f>'Retirement Tradeoff'!$B$6+'Retirement Tradeoff'!$B$7</f>
        <v/>
      </c>
    </row>
    <row r="10">
      <c r="A10" s="2" t="inlineStr">
        <is>
          <t>HOUSING COST IMPACT</t>
        </is>
      </c>
    </row>
    <row r="11">
      <c r="A11" s="4" t="inlineStr">
        <is>
          <t>Monthly housing (PITI)</t>
        </is>
      </c>
      <c r="B11" s="9">
        <f>Inputs!$B$81</f>
        <v/>
      </c>
    </row>
    <row r="12">
      <c r="A12" s="12" t="inlineStr">
        <is>
          <t>Housing as % of gross income</t>
        </is>
      </c>
      <c r="B12" s="33">
        <f>Inputs!$B$81/'Retirement Tradeoff'!$B$5</f>
        <v/>
      </c>
      <c r="C12" s="3" t="inlineStr">
        <is>
          <t>Target: &lt;28% (ideal), &lt;35% (max)</t>
        </is>
      </c>
    </row>
    <row r="13">
      <c r="A13" s="4" t="inlineStr">
        <is>
          <t>Retirement as % of gross income</t>
        </is>
      </c>
      <c r="B13" s="28">
        <f>'Retirement Tradeoff'!$B$8/'Retirement Tradeoff'!$B$5</f>
        <v/>
      </c>
      <c r="C13" s="3" t="inlineStr">
        <is>
          <t>Target: 15-20% including match</t>
        </is>
      </c>
    </row>
    <row r="14">
      <c r="A14" s="12" t="inlineStr">
        <is>
          <t>Combined (housing + retirement %)</t>
        </is>
      </c>
      <c r="B14" s="33">
        <f>'Retirement Tradeoff'!$B$12+Inputs!$B$47</f>
        <v/>
      </c>
    </row>
    <row r="16">
      <c r="A16" s="2" t="inlineStr">
        <is>
          <t>OPPORTUNITY COST</t>
        </is>
      </c>
    </row>
    <row r="17">
      <c r="A17" s="4" t="inlineStr">
        <is>
          <t>Current rent (from inputs)</t>
        </is>
      </c>
      <c r="B17" s="9">
        <f>Inputs!$B$22</f>
        <v/>
      </c>
    </row>
    <row r="18">
      <c r="A18" s="4" t="inlineStr">
        <is>
          <t>Monthly difference (own − rent)</t>
        </is>
      </c>
      <c r="B18" s="9">
        <f>Inputs!$B$81-Inputs!$B$22</f>
        <v/>
      </c>
    </row>
    <row r="19">
      <c r="A19" s="12" t="inlineStr">
        <is>
          <t>If diff invested monthly for N years</t>
        </is>
      </c>
      <c r="B19" s="21">
        <f>FV(Inputs!$B$50/12,Inputs!$B$51*12,-'Retirement Tradeoff'!$B$18,0)</f>
        <v/>
      </c>
      <c r="C19" s="3" t="inlineStr">
        <is>
          <t>What you'd have if renting + investing the difference</t>
        </is>
      </c>
    </row>
    <row r="21">
      <c r="A21" s="2" t="inlineStr">
        <is>
          <t>RETIREMENT BALANCE PROJECTION</t>
        </is>
      </c>
    </row>
    <row r="22">
      <c r="A22" s="4" t="inlineStr">
        <is>
          <t>Current contribution trajectory</t>
        </is>
      </c>
      <c r="B22" s="9">
        <f>FV(Inputs!$B$50/12,Inputs!$B$51*12,-'Retirement Tradeoff'!$B$8,0)</f>
        <v/>
      </c>
      <c r="C22" s="3" t="inlineStr">
        <is>
          <t>FV of current contributions over retirement years</t>
        </is>
      </c>
    </row>
    <row r="23">
      <c r="A23" s="4" t="inlineStr">
        <is>
          <t>If you maxed 401k ($23K/yr) + match</t>
        </is>
      </c>
      <c r="B23" s="9">
        <f>FV(Inputs!$B$50/12,Inputs!$B$51*12,-(23000/12+MIN(23000/12,Inputs!$B$46*Inputs!$B$49/12)*Inputs!$B$48),0)</f>
        <v/>
      </c>
    </row>
    <row r="24">
      <c r="A24" s="12" t="inlineStr">
        <is>
          <t>Retirement shortfall from current plan</t>
        </is>
      </c>
      <c r="B24" s="13">
        <f>'Retirement Tradeoff'!$B$23-'Retirement Tradeoff'!$B$22</f>
        <v/>
      </c>
      <c r="C24" s="3" t="inlineStr">
        <is>
          <t>Difference between max and current trajectory</t>
        </is>
      </c>
    </row>
    <row r="26">
      <c r="A26" s="2" t="inlineStr">
        <is>
          <t>VERDICT</t>
        </is>
      </c>
    </row>
    <row r="27">
      <c r="A27" s="12" t="inlineStr">
        <is>
          <t>Assessment</t>
        </is>
      </c>
      <c r="B27" s="32">
        <f>IF('Retirement Tradeoff'!$B$12&gt;0.35,"Housing crowding retirement",IF(Inputs!$B$47&lt;Inputs!$B$49,"Increase 401k to capture full match",IF('Retirement Tradeoff'!$B$12&lt;0.28,"Good balance","Acceptable but watch spending")))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ROI Analysis — Return on Investment at Sale</t>
        </is>
      </c>
    </row>
    <row r="2">
      <c r="A2" s="3" t="inlineStr">
        <is>
          <t>Three ways to measure your return if you sell the home at different points.</t>
        </is>
      </c>
    </row>
    <row r="4">
      <c r="A4" s="14" t="inlineStr">
        <is>
          <t>Metric</t>
        </is>
      </c>
      <c r="B4" s="14" t="inlineStr">
        <is>
          <t>Year 5</t>
        </is>
      </c>
      <c r="C4" s="14" t="inlineStr">
        <is>
          <t>Year 10</t>
        </is>
      </c>
      <c r="D4" s="14" t="inlineStr">
        <is>
          <t>Year 15</t>
        </is>
      </c>
      <c r="E4" s="14" t="inlineStr">
        <is>
          <t>Year 20</t>
        </is>
      </c>
      <c r="F4" s="14" t="inlineStr">
        <is>
          <t>Year 30</t>
        </is>
      </c>
    </row>
    <row r="5">
      <c r="A5" s="4" t="inlineStr">
        <is>
          <t>Initial cash outlay (DP + closing)</t>
        </is>
      </c>
      <c r="B5" s="9">
        <f>Inputs!$B$62+Inputs!$B$71</f>
        <v/>
      </c>
      <c r="C5" s="9">
        <f>Inputs!$B$62+Inputs!$B$71</f>
        <v/>
      </c>
      <c r="D5" s="9">
        <f>Inputs!$B$62+Inputs!$B$71</f>
        <v/>
      </c>
      <c r="E5" s="9">
        <f>Inputs!$B$62+Inputs!$B$71</f>
        <v/>
      </c>
      <c r="F5" s="9">
        <f>Inputs!$B$62+Inputs!$B$71</f>
        <v/>
      </c>
    </row>
    <row r="6">
      <c r="A6" s="4" t="inlineStr">
        <is>
          <t>Cumulative payments (P&amp;I+Tax+Ins+PMI+HOA)</t>
        </is>
      </c>
      <c r="B6" s="9">
        <f>SUM(Amortization!D5:D64)+SUM(Amortization!G5:G64)+Inputs!$B$67*60+Inputs!$B$68*60+SUMPRODUCT(Amortization!H5:H64)*Inputs!$B$69+Inputs!$B$70*60</f>
        <v/>
      </c>
      <c r="C6" s="9">
        <f>SUM(Amortization!D5:D124)+SUM(Amortization!G5:G124)+Inputs!$B$67*120+Inputs!$B$68*120+SUMPRODUCT(Amortization!H5:H124)*Inputs!$B$69+Inputs!$B$70*120</f>
        <v/>
      </c>
      <c r="D6" s="9">
        <f>SUM(Amortization!D5:D184)+SUM(Amortization!G5:G184)+Inputs!$B$67*180+Inputs!$B$68*180+SUMPRODUCT(Amortization!H5:H184)*Inputs!$B$69+Inputs!$B$70*180</f>
        <v/>
      </c>
      <c r="E6" s="9">
        <f>SUM(Amortization!D5:D244)+SUM(Amortization!G5:G244)+Inputs!$B$67*240+Inputs!$B$68*240+SUMPRODUCT(Amortization!H5:H244)*Inputs!$B$69+Inputs!$B$70*240</f>
        <v/>
      </c>
      <c r="F6" s="9">
        <f>SUM(Amortization!D5:D364)+SUM(Amortization!G5:G364)+Inputs!$B$67*360+Inputs!$B$68*360+SUMPRODUCT(Amortization!H5:H364)*Inputs!$B$69+Inputs!$B$70*360</f>
        <v/>
      </c>
    </row>
    <row r="7">
      <c r="A7" s="4" t="inlineStr">
        <is>
          <t>Cumulative maintenance</t>
        </is>
      </c>
      <c r="B7" s="9">
        <f>Inputs!$B$16*Inputs!$B$5*((1+Inputs!$B$15)^5+1)/2*5</f>
        <v/>
      </c>
      <c r="C7" s="9">
        <f>Inputs!$B$16*Inputs!$B$5*((1+Inputs!$B$15)^10+1)/2*10</f>
        <v/>
      </c>
      <c r="D7" s="9">
        <f>Inputs!$B$16*Inputs!$B$5*((1+Inputs!$B$15)^15+1)/2*15</f>
        <v/>
      </c>
      <c r="E7" s="9">
        <f>Inputs!$B$16*Inputs!$B$5*((1+Inputs!$B$15)^20+1)/2*20</f>
        <v/>
      </c>
      <c r="F7" s="9">
        <f>Inputs!$B$16*Inputs!$B$5*((1+Inputs!$B$15)^30+1)/2*30</f>
        <v/>
      </c>
    </row>
    <row r="8">
      <c r="A8" s="12" t="inlineStr">
        <is>
          <t>Total cash invested</t>
        </is>
      </c>
      <c r="B8" s="21">
        <f>B5+B6+B7</f>
        <v/>
      </c>
      <c r="C8" s="21">
        <f>B5+C6+C7</f>
        <v/>
      </c>
      <c r="D8" s="21">
        <f>B5+D6+D7</f>
        <v/>
      </c>
      <c r="E8" s="21">
        <f>B5+E6+E7</f>
        <v/>
      </c>
      <c r="F8" s="21">
        <f>B5+F6+F7</f>
        <v/>
      </c>
    </row>
    <row r="9">
      <c r="A9" s="4" t="inlineStr">
        <is>
          <t>Home value at sale</t>
        </is>
      </c>
      <c r="B9" s="9">
        <f>Inputs!$B$5*(1+Inputs!$B$15)^5</f>
        <v/>
      </c>
      <c r="C9" s="9">
        <f>Inputs!$B$5*(1+Inputs!$B$15)^10</f>
        <v/>
      </c>
      <c r="D9" s="9">
        <f>Inputs!$B$5*(1+Inputs!$B$15)^15</f>
        <v/>
      </c>
      <c r="E9" s="9">
        <f>Inputs!$B$5*(1+Inputs!$B$15)^20</f>
        <v/>
      </c>
      <c r="F9" s="9">
        <f>Inputs!$B$5*(1+Inputs!$B$15)^30</f>
        <v/>
      </c>
    </row>
    <row r="10">
      <c r="A10" s="4" t="inlineStr">
        <is>
          <t>Loan balance at sale</t>
        </is>
      </c>
      <c r="B10" s="9">
        <f>IFERROR(INDEX(Amortization!I:I,64),0)</f>
        <v/>
      </c>
      <c r="C10" s="9">
        <f>IFERROR(INDEX(Amortization!I:I,124),0)</f>
        <v/>
      </c>
      <c r="D10" s="9">
        <f>IFERROR(INDEX(Amortization!I:I,184),0)</f>
        <v/>
      </c>
      <c r="E10" s="9">
        <f>IFERROR(INDEX(Amortization!I:I,244),0)</f>
        <v/>
      </c>
      <c r="F10" s="9">
        <f>IFERROR(INDEX(Amortization!I:I,364),0)</f>
        <v/>
      </c>
    </row>
    <row r="11">
      <c r="A11" s="4" t="inlineStr">
        <is>
          <t>Selling costs</t>
        </is>
      </c>
      <c r="B11" s="9">
        <f>B9*Inputs!$B$18</f>
        <v/>
      </c>
      <c r="C11" s="9">
        <f>C9*Inputs!$B$18</f>
        <v/>
      </c>
      <c r="D11" s="9">
        <f>D9*Inputs!$B$18</f>
        <v/>
      </c>
      <c r="E11" s="9">
        <f>E9*Inputs!$B$18</f>
        <v/>
      </c>
      <c r="F11" s="9">
        <f>F9*Inputs!$B$18</f>
        <v/>
      </c>
    </row>
    <row r="12">
      <c r="A12" s="12" t="inlineStr">
        <is>
          <t>Net equity at sale (after selling costs)</t>
        </is>
      </c>
      <c r="B12" s="13">
        <f>B9-B10-B11</f>
        <v/>
      </c>
      <c r="C12" s="13">
        <f>C9-C10-C11</f>
        <v/>
      </c>
      <c r="D12" s="13">
        <f>D9-D10-D11</f>
        <v/>
      </c>
      <c r="E12" s="13">
        <f>E9-E10-E11</f>
        <v/>
      </c>
      <c r="F12" s="13">
        <f>F9-F10-F11</f>
        <v/>
      </c>
    </row>
    <row r="14">
      <c r="A14" s="2" t="inlineStr">
        <is>
          <t>RETURN METRICS</t>
        </is>
      </c>
    </row>
    <row r="15">
      <c r="A15" s="4" t="inlineStr">
        <is>
          <t>1. Simple ROI</t>
        </is>
      </c>
      <c r="B15" s="28">
        <f>(B12-B8)/B8</f>
        <v/>
      </c>
      <c r="C15" s="28">
        <f>(C12-C8)/C8</f>
        <v/>
      </c>
      <c r="D15" s="28">
        <f>(D12-D8)/D8</f>
        <v/>
      </c>
      <c r="E15" s="28">
        <f>(E12-E8)/E8</f>
        <v/>
      </c>
      <c r="F15" s="28">
        <f>(F12-F8)/F8</f>
        <v/>
      </c>
      <c r="G15" s="3" t="inlineStr">
        <is>
          <t>(Net Equity − Total Cash) / Total Cash</t>
        </is>
      </c>
    </row>
    <row r="16">
      <c r="A16" s="4" t="inlineStr">
        <is>
          <t>2. CAGR (on initial cash only)</t>
        </is>
      </c>
      <c r="B16" s="28">
        <f>IFERROR((B12/'ROI Analysis'!$B$5)^(1/5)-1,0)</f>
        <v/>
      </c>
      <c r="C16" s="28">
        <f>IFERROR((C12/'ROI Analysis'!$B$5)^(1/10)-1,0)</f>
        <v/>
      </c>
      <c r="D16" s="28">
        <f>IFERROR((D12/'ROI Analysis'!$B$5)^(1/15)-1,0)</f>
        <v/>
      </c>
      <c r="E16" s="28">
        <f>IFERROR((E12/'ROI Analysis'!$B$5)^(1/20)-1,0)</f>
        <v/>
      </c>
      <c r="F16" s="28">
        <f>IFERROR((F12/'ROI Analysis'!$B$5)^(1/30)-1,0)</f>
        <v/>
      </c>
      <c r="G16" s="3" t="inlineStr">
        <is>
          <t>(Net Equity / Initial Cash)^(1/years) − 1</t>
        </is>
      </c>
    </row>
    <row r="17">
      <c r="A17" s="12" t="inlineStr">
        <is>
          <t>3. IRR (estimated)</t>
        </is>
      </c>
      <c r="B17" s="34">
        <f>IFERROR(RATE(5*12,-(B8-'ROI Analysis'!$B$5)/5/12,'ROI Analysis'!$B$5,-B12)*12,0)</f>
        <v/>
      </c>
      <c r="C17" s="34">
        <f>IFERROR(RATE(10*12,-(C8-'ROI Analysis'!$B$5)/10/12,'ROI Analysis'!$B$5,-C12)*12,0)</f>
        <v/>
      </c>
      <c r="D17" s="34">
        <f>IFERROR(RATE(15*12,-(D8-'ROI Analysis'!$B$5)/15/12,'ROI Analysis'!$B$5,-D12)*12,0)</f>
        <v/>
      </c>
      <c r="E17" s="34">
        <f>IFERROR(RATE(20*12,-(E8-'ROI Analysis'!$B$5)/20/12,'ROI Analysis'!$B$5,-E12)*12,0)</f>
        <v/>
      </c>
      <c r="F17" s="34">
        <f>IFERROR(RATE(30*12,-(F8-'ROI Analysis'!$B$5)/30/12,'ROI Analysis'!$B$5,-F12)*12,0)</f>
        <v/>
      </c>
      <c r="G17" s="3" t="inlineStr">
        <is>
          <t>Annualized return on all cash flows (estimated)</t>
        </is>
      </c>
    </row>
    <row r="19">
      <c r="A19" s="2" t="inlineStr">
        <is>
          <t>MARKET COMPARISON</t>
        </is>
      </c>
    </row>
    <row r="20">
      <c r="A20" s="4" t="inlineStr">
        <is>
          <t>If total cash invested in market instead</t>
        </is>
      </c>
      <c r="B20" s="9">
        <f>'ROI Analysis'!$B$5*(1+Inputs!$B$24)^5+FV(Inputs!$B$24/12,5*12,-(B8-'ROI Analysis'!$B$5)/5/12,0)</f>
        <v/>
      </c>
      <c r="C20" s="9">
        <f>'ROI Analysis'!$B$5*(1+Inputs!$B$24)^10+FV(Inputs!$B$24/12,10*12,-(C8-'ROI Analysis'!$B$5)/10/12,0)</f>
        <v/>
      </c>
      <c r="D20" s="9">
        <f>'ROI Analysis'!$B$5*(1+Inputs!$B$24)^15+FV(Inputs!$B$24/12,15*12,-(D8-'ROI Analysis'!$B$5)/15/12,0)</f>
        <v/>
      </c>
      <c r="E20" s="9">
        <f>'ROI Analysis'!$B$5*(1+Inputs!$B$24)^20+FV(Inputs!$B$24/12,20*12,-(E8-'ROI Analysis'!$B$5)/20/12,0)</f>
        <v/>
      </c>
      <c r="F20" s="9">
        <f>'ROI Analysis'!$B$5*(1+Inputs!$B$24)^30+FV(Inputs!$B$24/12,30*12,-(F8-'ROI Analysis'!$B$5)/30/12,0)</f>
        <v/>
      </c>
    </row>
    <row r="21">
      <c r="A21" s="12" t="inlineStr">
        <is>
          <t>Home equity vs. market investment</t>
        </is>
      </c>
      <c r="B21" s="13">
        <f>B12-B20</f>
        <v/>
      </c>
      <c r="C21" s="13">
        <f>C12-C20</f>
        <v/>
      </c>
      <c r="D21" s="13">
        <f>D12-D20</f>
        <v/>
      </c>
      <c r="E21" s="13">
        <f>E12-E20</f>
        <v/>
      </c>
      <c r="F21" s="13">
        <f>F12-F20</f>
        <v/>
      </c>
      <c r="G21" s="3" t="inlineStr">
        <is>
          <t>Positive = home wins, Negative = market wins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Refinance Analysis</t>
        </is>
      </c>
    </row>
    <row r="2">
      <c r="A2" s="3" t="inlineStr">
        <is>
          <t>Compares refinancing at the chosen year vs. keeping the original loan.</t>
        </is>
      </c>
    </row>
    <row r="3">
      <c r="A3" s="35">
        <f>IF(Inputs!$B$53=1,"Status: refi simulation ENABLED","Status: refi DISABLED — set Include refi? to 1 on Inputs sheet to enable")</f>
        <v/>
      </c>
    </row>
    <row r="4">
      <c r="A4" s="4" t="inlineStr">
        <is>
          <t>Balance at refi point</t>
        </is>
      </c>
      <c r="B4" s="9">
        <f>INDEX(Amortization!I:I,4+Inputs!$B$54*12)</f>
        <v/>
      </c>
    </row>
    <row r="5">
      <c r="A5" s="4" t="inlineStr">
        <is>
          <t>Cash-out amount</t>
        </is>
      </c>
      <c r="B5" s="9">
        <f>Inputs!$B$58</f>
        <v/>
      </c>
    </row>
    <row r="6">
      <c r="A6" s="4" t="inlineStr">
        <is>
          <t>Refi closing costs</t>
        </is>
      </c>
      <c r="B6" s="9">
        <f>(Refinance!$B$4+Inputs!$B$58)*Inputs!$B$57</f>
        <v/>
      </c>
    </row>
    <row r="7">
      <c r="A7" s="12" t="inlineStr">
        <is>
          <t>New loan amount</t>
        </is>
      </c>
      <c r="B7" s="21">
        <f>Refinance!$B$4+Inputs!$B$58+IF(Inputs!$B$59=1,Refinance!$B$6,0)</f>
        <v/>
      </c>
    </row>
    <row r="8">
      <c r="A8" s="4" t="inlineStr">
        <is>
          <t>Cash needed at refi (out of pocket)</t>
        </is>
      </c>
      <c r="B8" s="9">
        <f>IF(Inputs!$B$59=1,0,Refinance!$B$6)</f>
        <v/>
      </c>
    </row>
    <row r="10">
      <c r="A10" s="14" t="inlineStr">
        <is>
          <t>Metric</t>
        </is>
      </c>
      <c r="B10" s="14" t="inlineStr">
        <is>
          <t>Keep current loan</t>
        </is>
      </c>
      <c r="C10" s="14" t="inlineStr">
        <is>
          <t>Refinance</t>
        </is>
      </c>
      <c r="D10" s="14" t="inlineStr">
        <is>
          <t>Delta</t>
        </is>
      </c>
    </row>
    <row r="11">
      <c r="A11" s="4" t="inlineStr">
        <is>
          <t>Monthly P&amp;I</t>
        </is>
      </c>
      <c r="B11" s="9">
        <f>Inputs!$B$66</f>
        <v/>
      </c>
      <c r="C11" s="9">
        <f>-PMT(Inputs!$B$55/12,Inputs!$B$56*12,Refinance!$B$7)</f>
        <v/>
      </c>
      <c r="D11" s="9">
        <f>C11-B11</f>
        <v/>
      </c>
    </row>
    <row r="12">
      <c r="A12" s="4" t="inlineStr">
        <is>
          <t>Months remaining</t>
        </is>
      </c>
      <c r="B12" s="15">
        <f>Inputs!$B$8*12-Inputs!$B$54*12</f>
        <v/>
      </c>
      <c r="C12" s="15">
        <f>Inputs!$B$56*12</f>
        <v/>
      </c>
      <c r="D12" s="15">
        <f>C12-B12</f>
        <v/>
      </c>
    </row>
    <row r="13">
      <c r="A13" s="4" t="inlineStr">
        <is>
          <t>Total interest remaining</t>
        </is>
      </c>
      <c r="B13" s="16">
        <f>SUM(INDEX(Amortization!F:F,4+Inputs!$B$54*12+1):INDEX(Amortization!F:F,4+Inputs!$B$8*12))</f>
        <v/>
      </c>
      <c r="C13" s="16">
        <f>Refinance!$C$11*Inputs!$B$56*12-Refinance!$B$7</f>
        <v/>
      </c>
      <c r="D13" s="16">
        <f>C13-B13</f>
        <v/>
      </c>
    </row>
    <row r="14">
      <c r="A14" s="4" t="inlineStr">
        <is>
          <t>Total P+I remaining</t>
        </is>
      </c>
      <c r="B14" s="16">
        <f>Inputs!$B$66*(Inputs!$B$8*12-Inputs!$B$54*12)</f>
        <v/>
      </c>
      <c r="C14" s="16">
        <f>Refinance!$C$11*Inputs!$B$56*12+Refinance!$B$8</f>
        <v/>
      </c>
      <c r="D14" s="16">
        <f>C14-B14</f>
        <v/>
      </c>
    </row>
    <row r="16">
      <c r="A16" s="2" t="inlineStr">
        <is>
          <t>SUMMARY</t>
        </is>
      </c>
    </row>
    <row r="17">
      <c r="A17" s="12" t="inlineStr">
        <is>
          <t>Monthly savings</t>
        </is>
      </c>
      <c r="B17" s="13">
        <f>Inputs!$B$66-Refinance!$C$11</f>
        <v/>
      </c>
    </row>
    <row r="18">
      <c r="A18" s="12" t="inlineStr">
        <is>
          <t>Break-even (months)</t>
        </is>
      </c>
      <c r="B18" s="36">
        <f>IFERROR(IF(Refinance!$B$17&lt;=0,"Never",IF(Refinance!$B$8=0,0,Refinance!$B$8/Refinance!$B$17)),"Never")</f>
        <v/>
      </c>
    </row>
    <row r="19">
      <c r="A19" s="4" t="inlineStr">
        <is>
          <t>Lifetime interest saved</t>
        </is>
      </c>
      <c r="B19" s="9">
        <f>SUM(INDEX(Amortization!F:F,4+Inputs!$B$54*12+1):INDEX(Amortization!F:F,4+Inputs!$B$8*12))-(Refinance!$C$11*Inputs!$B$56*12-Refinance!$B$7)</f>
        <v/>
      </c>
      <c r="E19" s="3" t="inlineStr">
        <is>
          <t>Positive = saves; negative = extending term costs more total interest</t>
        </is>
      </c>
    </row>
    <row r="20">
      <c r="A20" s="12" t="inlineStr">
        <is>
          <t>Verdict</t>
        </is>
      </c>
      <c r="B20" s="32">
        <f>IF(Inputs!$B$53=0,"Disabled (toggle on Inputs)",IF(Inputs!$B$55&gt;=Inputs!$B$7,"Rate not lower — only refi if cash-out needed",IF(Refinance!$B$17&lt;=0,"Higher monthly cost",IF(B19&lt;0,"Lower monthly but more total interest","Refi favorable"))))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30" customWidth="1" min="4" max="4"/>
  </cols>
  <sheetData>
    <row r="1">
      <c r="A1" s="1" t="inlineStr">
        <is>
          <t>Extra Payment Impact</t>
        </is>
      </c>
    </row>
    <row r="2">
      <c r="A2" s="3" t="inlineStr">
        <is>
          <t>Compares 'Current' (with extra) to 'Baseline' (no extra) using the loan you set in Inputs.</t>
        </is>
      </c>
    </row>
    <row r="4">
      <c r="A4" t="inlineStr"/>
      <c r="B4" s="37" t="inlineStr">
        <is>
          <t>Baseline (no extra)</t>
        </is>
      </c>
      <c r="C4" s="37" t="inlineStr">
        <is>
          <t>With extra</t>
        </is>
      </c>
    </row>
    <row r="5">
      <c r="A5" s="4" t="inlineStr">
        <is>
          <t>Loan amount</t>
        </is>
      </c>
      <c r="B5" s="38">
        <f>Inputs!$B$63</f>
        <v/>
      </c>
      <c r="C5" s="38">
        <f>Inputs!$B$63</f>
        <v/>
      </c>
    </row>
    <row r="6">
      <c r="A6" s="4" t="inlineStr">
        <is>
          <t>Monthly P&amp;I</t>
        </is>
      </c>
      <c r="B6" s="38">
        <f>-PMT(Inputs!$B$64,Inputs!$B$65,Inputs!$B$63)</f>
        <v/>
      </c>
      <c r="C6" s="38">
        <f>-PMT(Inputs!$B$64,Inputs!$B$65,Inputs!$B$63)</f>
        <v/>
      </c>
    </row>
    <row r="7">
      <c r="A7" s="4" t="inlineStr">
        <is>
          <t>Extra per month</t>
        </is>
      </c>
      <c r="B7" s="38" t="inlineStr">
        <is>
          <t>0</t>
        </is>
      </c>
      <c r="C7" s="38">
        <f>Inputs!$B$20</f>
        <v/>
      </c>
    </row>
    <row r="8">
      <c r="A8" s="4" t="inlineStr">
        <is>
          <t>Effective payment</t>
        </is>
      </c>
      <c r="B8" s="38">
        <f>B6</f>
        <v/>
      </c>
      <c r="C8" s="38">
        <f>C6+C7</f>
        <v/>
      </c>
    </row>
    <row r="9">
      <c r="A9" s="4" t="inlineStr">
        <is>
          <t>Months to payoff</t>
        </is>
      </c>
      <c r="B9" s="39">
        <f>Inputs!$B$65</f>
        <v/>
      </c>
      <c r="C9" s="39">
        <f>IFERROR(NPER(Inputs!$B$64,-(B6+Inputs!$B$20),Inputs!$B$63),Inputs!$B$65)</f>
        <v/>
      </c>
    </row>
    <row r="10">
      <c r="A10" s="4" t="inlineStr">
        <is>
          <t>Years to payoff</t>
        </is>
      </c>
      <c r="B10" s="39">
        <f>B9/12</f>
        <v/>
      </c>
      <c r="C10" s="39">
        <f>C9/12</f>
        <v/>
      </c>
    </row>
    <row r="11">
      <c r="A11" s="4" t="inlineStr">
        <is>
          <t>Total interest</t>
        </is>
      </c>
      <c r="B11" s="38">
        <f>B6*B9-Inputs!$B$63</f>
        <v/>
      </c>
      <c r="C11" s="38">
        <f>(B6+Inputs!$B$20)*C9-Inputs!$B$63</f>
        <v/>
      </c>
    </row>
    <row r="12">
      <c r="A12" s="4" t="inlineStr">
        <is>
          <t>Total paid</t>
        </is>
      </c>
      <c r="B12" s="38">
        <f>B6*B9</f>
        <v/>
      </c>
      <c r="C12" s="38">
        <f>(B6+Inputs!$B$20)*C9</f>
        <v/>
      </c>
    </row>
    <row r="14">
      <c r="A14" s="12" t="inlineStr">
        <is>
          <t>Interest saved</t>
        </is>
      </c>
      <c r="B14" s="18">
        <f>B11-C11</f>
        <v/>
      </c>
    </row>
    <row r="15">
      <c r="A15" s="12" t="inlineStr">
        <is>
          <t>Months saved</t>
        </is>
      </c>
      <c r="B15" s="40">
        <f>B9-C9</f>
        <v/>
      </c>
    </row>
    <row r="16">
      <c r="A16" s="12" t="inlineStr">
        <is>
          <t>Years saved</t>
        </is>
      </c>
      <c r="B16" s="40">
        <f>B10-C10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Scenario Comparison</t>
        </is>
      </c>
    </row>
    <row r="2">
      <c r="A2" s="3" t="inlineStr">
        <is>
          <t>Three editable scenarios. Edit inputs in B/C/D columns to compare side-by-side.</t>
        </is>
      </c>
    </row>
    <row r="4">
      <c r="A4" s="37" t="inlineStr">
        <is>
          <t>Assumption</t>
        </is>
      </c>
      <c r="B4" s="37" t="inlineStr">
        <is>
          <t>Scenario A</t>
        </is>
      </c>
      <c r="C4" s="37" t="inlineStr">
        <is>
          <t>Scenario B</t>
        </is>
      </c>
      <c r="D4" s="37" t="inlineStr">
        <is>
          <t>Scenario C</t>
        </is>
      </c>
    </row>
    <row r="5">
      <c r="A5" s="4" t="inlineStr">
        <is>
          <t>Home price ($)</t>
        </is>
      </c>
      <c r="B5" s="41" t="n">
        <v>500000</v>
      </c>
      <c r="C5" s="41" t="n">
        <v>500000</v>
      </c>
      <c r="D5" s="41" t="n">
        <v>600000</v>
      </c>
    </row>
    <row r="6">
      <c r="A6" s="4" t="inlineStr">
        <is>
          <t>Down payment (%)</t>
        </is>
      </c>
      <c r="B6" s="42" t="n">
        <v>0.2</v>
      </c>
      <c r="C6" s="42" t="n">
        <v>0.1</v>
      </c>
      <c r="D6" s="42" t="n">
        <v>0.2</v>
      </c>
    </row>
    <row r="7">
      <c r="A7" s="4" t="inlineStr">
        <is>
          <t>Interest rate</t>
        </is>
      </c>
      <c r="B7" s="42" t="n">
        <v>0.065</v>
      </c>
      <c r="C7" s="42" t="n">
        <v>0.065</v>
      </c>
      <c r="D7" s="42" t="n">
        <v>0.065</v>
      </c>
    </row>
    <row r="8">
      <c r="A8" s="4" t="inlineStr">
        <is>
          <t>Loan term (years)</t>
        </is>
      </c>
      <c r="B8" s="43" t="n">
        <v>30</v>
      </c>
      <c r="C8" s="43" t="n">
        <v>30</v>
      </c>
      <c r="D8" s="43" t="n">
        <v>15</v>
      </c>
    </row>
    <row r="9">
      <c r="A9" s="4" t="inlineStr">
        <is>
          <t>Extra/month ($)</t>
        </is>
      </c>
      <c r="B9" s="41" t="n">
        <v>0</v>
      </c>
      <c r="C9" s="41" t="n">
        <v>0</v>
      </c>
      <c r="D9" s="41" t="n">
        <v>500</v>
      </c>
    </row>
    <row r="10">
      <c r="A10" s="4" t="inlineStr">
        <is>
          <t>Appreciation (annual)</t>
        </is>
      </c>
      <c r="B10" s="42" t="n">
        <v>0.035</v>
      </c>
      <c r="C10" s="42" t="n">
        <v>0.035</v>
      </c>
      <c r="D10" s="42" t="n">
        <v>0.035</v>
      </c>
    </row>
    <row r="12">
      <c r="A12" s="2" t="inlineStr">
        <is>
          <t>RESULTS</t>
        </is>
      </c>
    </row>
    <row r="13">
      <c r="A13" s="4" t="inlineStr">
        <is>
          <t>Down payment ($)</t>
        </is>
      </c>
      <c r="B13" s="9">
        <f>B5*B6</f>
        <v/>
      </c>
      <c r="C13" s="9">
        <f>C5*C6</f>
        <v/>
      </c>
      <c r="D13" s="9">
        <f>D5*D6</f>
        <v/>
      </c>
    </row>
    <row r="14">
      <c r="A14" s="4" t="inlineStr">
        <is>
          <t>Loan amount ($)</t>
        </is>
      </c>
      <c r="B14" s="9">
        <f>B5-B5*B6</f>
        <v/>
      </c>
      <c r="C14" s="9">
        <f>C5-C5*C6</f>
        <v/>
      </c>
      <c r="D14" s="9">
        <f>D5-D5*D6</f>
        <v/>
      </c>
    </row>
    <row r="15">
      <c r="A15" s="4" t="inlineStr">
        <is>
          <t>Monthly P&amp;I</t>
        </is>
      </c>
      <c r="B15" s="9">
        <f>-PMT(B7/12,B8*12,B5*(1-B6))</f>
        <v/>
      </c>
      <c r="C15" s="9">
        <f>-PMT(C7/12,C8*12,C5*(1-C6))</f>
        <v/>
      </c>
      <c r="D15" s="9">
        <f>-PMT(D7/12,D8*12,D5*(1-D6))</f>
        <v/>
      </c>
    </row>
    <row r="16">
      <c r="A16" s="4" t="inlineStr">
        <is>
          <t>Monthly tax+ins</t>
        </is>
      </c>
      <c r="B16" s="9">
        <f>Inputs!$B$67+Inputs!$B$68</f>
        <v/>
      </c>
      <c r="C16" s="9">
        <f>Inputs!$B$67+Inputs!$B$68</f>
        <v/>
      </c>
      <c r="D16" s="9">
        <f>Inputs!$B$67+Inputs!$B$68</f>
        <v/>
      </c>
    </row>
    <row r="17">
      <c r="A17" s="44" t="inlineStr">
        <is>
          <t>Total monthly (est)</t>
        </is>
      </c>
      <c r="B17" s="45">
        <f>-PMT(B7/12,B8*12,B5*(1-B6))+Inputs!$B$10*B5/12+Inputs!$B$68+Inputs!$B$70</f>
        <v/>
      </c>
      <c r="C17" s="45">
        <f>-PMT(C7/12,C8*12,C5*(1-C6))+Inputs!$B$10*C5/12+Inputs!$B$68+Inputs!$B$70</f>
        <v/>
      </c>
      <c r="D17" s="45">
        <f>-PMT(D7/12,D8*12,D5*(1-D6))+Inputs!$B$10*D5/12+Inputs!$B$68+Inputs!$B$70</f>
        <v/>
      </c>
    </row>
    <row r="18">
      <c r="A18" s="4" t="inlineStr">
        <is>
          <t>Total interest (no extra)</t>
        </is>
      </c>
      <c r="B18" s="9">
        <f>-PMT(B7/12,B8*12,B5*(1-B6))*B8*12-(B5*(1-B6))</f>
        <v/>
      </c>
      <c r="C18" s="9">
        <f>-PMT(C7/12,C8*12,C5*(1-C6))*C8*12-(C5*(1-C6))</f>
        <v/>
      </c>
      <c r="D18" s="9">
        <f>-PMT(D7/12,D8*12,D5*(1-D6))*D8*12-(D5*(1-D6))</f>
        <v/>
      </c>
    </row>
    <row r="19">
      <c r="A19" s="4" t="inlineStr">
        <is>
          <t>Months to payoff (w/ extra)</t>
        </is>
      </c>
      <c r="B19" s="46">
        <f>IFERROR(NPER(B7/12,-(-PMT(B7/12,B8*12,B5*(1-B6))+B9),B5*(1-B6)),B8*12)</f>
        <v/>
      </c>
      <c r="C19" s="46">
        <f>IFERROR(NPER(C7/12,-(-PMT(C7/12,C8*12,C5*(1-C6))+C9),C5*(1-C6)),C8*12)</f>
        <v/>
      </c>
      <c r="D19" s="46">
        <f>IFERROR(NPER(D7/12,-(-PMT(D7/12,D8*12,D5*(1-D6))+D9),D5*(1-D6)),D8*12)</f>
        <v/>
      </c>
    </row>
    <row r="20">
      <c r="A20" s="4" t="inlineStr">
        <is>
          <t>Years to payoff (w/ extra)</t>
        </is>
      </c>
      <c r="B20" s="46">
        <f>IFERROR(NPER(B7/12,-(-PMT(B7/12,B8*12,B5*(1-B6))+B9),B5*(1-B6))/12,B8)</f>
        <v/>
      </c>
      <c r="C20" s="46">
        <f>IFERROR(NPER(C7/12,-(-PMT(C7/12,C8*12,C5*(1-C6))+C9),C5*(1-C6))/12,C8)</f>
        <v/>
      </c>
      <c r="D20" s="46">
        <f>IFERROR(NPER(D7/12,-(-PMT(D7/12,D8*12,D5*(1-D6))+D9),D5*(1-D6))/12,D8)</f>
        <v/>
      </c>
    </row>
    <row r="21">
      <c r="A21" s="47" t="inlineStr">
        <is>
          <t>Home value @ year 30</t>
        </is>
      </c>
      <c r="B21" s="48">
        <f>B5*(1+B10)^30</f>
        <v/>
      </c>
      <c r="C21" s="48">
        <f>C5*(1+C10)^30</f>
        <v/>
      </c>
      <c r="D21" s="48">
        <f>D5*(1+D10)^30</f>
        <v/>
      </c>
    </row>
    <row r="22">
      <c r="A22" s="4" t="inlineStr">
        <is>
          <t>Home value @ year 10</t>
        </is>
      </c>
      <c r="B22" s="9">
        <f>B5*(1+B10)^10</f>
        <v/>
      </c>
      <c r="C22" s="9">
        <f>C5*(1+C10)^10</f>
        <v/>
      </c>
      <c r="D22" s="9">
        <f>D5*(1+D10)^10</f>
        <v/>
      </c>
    </row>
    <row r="23">
      <c r="A23" s="4" t="inlineStr">
        <is>
          <t>Min income (Ramsey 25%)</t>
        </is>
      </c>
      <c r="B23" s="9">
        <f>MAX((-PMT(B7/12,B8*12,B5*(1-B6))+Inputs!$B$10*B5/12+Inputs!$B$68+Inputs!$B$70+IF(B6&lt;0.2,Inputs!$B$13*B5*(1-B6)/12,0))/0.25,((-PMT(B7/12,B8*12,B5*(1-B6))+Inputs!$B$10*B5/12+Inputs!$B$68+Inputs!$B$70+IF(B6&lt;0.2,Inputs!$B$13*B5*(1-B6)/12,0))+Inputs!$B$26)/0.25)*12</f>
        <v/>
      </c>
      <c r="C23" s="9">
        <f>MAX((-PMT(C7/12,C8*12,C5*(1-C6))+Inputs!$B$10*C5/12+Inputs!$B$68+Inputs!$B$70+IF(C6&lt;0.2,Inputs!$B$13*C5*(1-C6)/12,0))/0.25,((-PMT(C7/12,C8*12,C5*(1-C6))+Inputs!$B$10*C5/12+Inputs!$B$68+Inputs!$B$70+IF(C6&lt;0.2,Inputs!$B$13*C5*(1-C6)/12,0))+Inputs!$B$26)/0.25)*12</f>
        <v/>
      </c>
      <c r="D23" s="9">
        <f>MAX((-PMT(D7/12,D8*12,D5*(1-D6))+Inputs!$B$10*D5/12+Inputs!$B$68+Inputs!$B$70+IF(D6&lt;0.2,Inputs!$B$13*D5*(1-D6)/12,0))/0.25,((-PMT(D7/12,D8*12,D5*(1-D6))+Inputs!$B$10*D5/12+Inputs!$B$68+Inputs!$B$70+IF(D6&lt;0.2,Inputs!$B$13*D5*(1-D6)/12,0))+Inputs!$B$26)/0.25)*12</f>
        <v/>
      </c>
    </row>
    <row r="24">
      <c r="A24" s="4" t="inlineStr">
        <is>
          <t>Min income (28/36 rule)</t>
        </is>
      </c>
      <c r="B24" s="9">
        <f>MAX((-PMT(B7/12,B8*12,B5*(1-B6))+Inputs!$B$10*B5/12+Inputs!$B$68+Inputs!$B$70+IF(B6&lt;0.2,Inputs!$B$13*B5*(1-B6)/12,0))/0.28,((-PMT(B7/12,B8*12,B5*(1-B6))+Inputs!$B$10*B5/12+Inputs!$B$68+Inputs!$B$70+IF(B6&lt;0.2,Inputs!$B$13*B5*(1-B6)/12,0))+Inputs!$B$26)/0.36)*12</f>
        <v/>
      </c>
      <c r="C24" s="9">
        <f>MAX((-PMT(C7/12,C8*12,C5*(1-C6))+Inputs!$B$10*C5/12+Inputs!$B$68+Inputs!$B$70+IF(C6&lt;0.2,Inputs!$B$13*C5*(1-C6)/12,0))/0.28,((-PMT(C7/12,C8*12,C5*(1-C6))+Inputs!$B$10*C5/12+Inputs!$B$68+Inputs!$B$70+IF(C6&lt;0.2,Inputs!$B$13*C5*(1-C6)/12,0))+Inputs!$B$26)/0.36)*12</f>
        <v/>
      </c>
      <c r="D24" s="9">
        <f>MAX((-PMT(D7/12,D8*12,D5*(1-D6))+Inputs!$B$10*D5/12+Inputs!$B$68+Inputs!$B$70+IF(D6&lt;0.2,Inputs!$B$13*D5*(1-D6)/12,0))/0.28,((-PMT(D7/12,D8*12,D5*(1-D6))+Inputs!$B$10*D5/12+Inputs!$B$68+Inputs!$B$70+IF(D6&lt;0.2,Inputs!$B$13*D5*(1-D6)/12,0))+Inputs!$B$26)/0.36)*12</f>
        <v/>
      </c>
    </row>
    <row r="25">
      <c r="A25" s="4" t="inlineStr">
        <is>
          <t>Min income (FHA 31/43)</t>
        </is>
      </c>
      <c r="B25" s="9">
        <f>MAX((-PMT(B7/12,B8*12,B5*(1-B6))+Inputs!$B$10*B5/12+Inputs!$B$68+Inputs!$B$70+IF(B6&lt;0.2,Inputs!$B$13*B5*(1-B6)/12,0))/0.31,((-PMT(B7/12,B8*12,B5*(1-B6))+Inputs!$B$10*B5/12+Inputs!$B$68+Inputs!$B$70+IF(B6&lt;0.2,Inputs!$B$13*B5*(1-B6)/12,0))+Inputs!$B$26)/0.43)*12</f>
        <v/>
      </c>
      <c r="C25" s="9">
        <f>MAX((-PMT(C7/12,C8*12,C5*(1-C6))+Inputs!$B$10*C5/12+Inputs!$B$68+Inputs!$B$70+IF(C6&lt;0.2,Inputs!$B$13*C5*(1-C6)/12,0))/0.31,((-PMT(C7/12,C8*12,C5*(1-C6))+Inputs!$B$10*C5/12+Inputs!$B$68+Inputs!$B$70+IF(C6&lt;0.2,Inputs!$B$13*C5*(1-C6)/12,0))+Inputs!$B$26)/0.43)*12</f>
        <v/>
      </c>
      <c r="D25" s="9">
        <f>MAX((-PMT(D7/12,D8*12,D5*(1-D6))+Inputs!$B$10*D5/12+Inputs!$B$68+Inputs!$B$70+IF(D6&lt;0.2,Inputs!$B$13*D5*(1-D6)/12,0))/0.31,((-PMT(D7/12,D8*12,D5*(1-D6))+Inputs!$B$10*D5/12+Inputs!$B$68+Inputs!$B$70+IF(D6&lt;0.2,Inputs!$B$13*D5*(1-D6)/12,0))+Inputs!$B$26)/0.43)*12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2026-05-25T00:05:02Z</dcterms:created>
  <dcterms:modified xsi:type="dcterms:W3CDTF">2026-05-25T00:05:02Z</dcterms:modified>
</cp:coreProperties>
</file>